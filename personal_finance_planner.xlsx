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💳 Transactions" sheetId="2" state="visible" r:id="rId2"/>
    <sheet name="📊 Budget" sheetId="3" state="visible" r:id="rId3"/>
    <sheet name="🌱 Goals" sheetId="4" state="visible" r:id="rId4"/>
    <sheet name="📅 Year" sheetId="5" state="visible" r:id="rId5"/>
    <sheet name="⚙️ Settings" sheetId="6" state="visible" r:id="rId6"/>
  </sheets>
  <definedNames>
    <definedName name="Categories">'⚙️ Settings'!$B$8:$B$24</definedName>
    <definedName name="CatIcons">'⚙️ Settings'!$B$8:$C$24</definedName>
    <definedName name="IncomeSources">'⚙️ Settings'!$D$8:$D$14</definedName>
    <definedName name="PayMethods">'⚙️ Settings'!$E$8:$E$12</definedName>
    <definedName name="Accounts">'⚙️ Settings'!$F$8:$F$11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yyyy-mm-dd"/>
    <numFmt numFmtId="166" formatCode="mmm dd"/>
    <numFmt numFmtId="167" formatCode="mmmm yyyy"/>
    <numFmt numFmtId="168" formatCode="0.0%"/>
    <numFmt numFmtId="169" formatCode="$#,##0"/>
    <numFmt numFmtId="170" formatCode="mmm dd, yyyy"/>
  </numFmts>
  <fonts count="21">
    <font>
      <name val="Calibri"/>
      <family val="2"/>
      <color theme="1"/>
      <sz val="11"/>
      <scheme val="minor"/>
    </font>
    <font>
      <name val="Arial"/>
      <b val="1"/>
      <color rgb="003B3B3B"/>
      <sz val="24"/>
    </font>
    <font>
      <name val="Arial"/>
      <color rgb="009C9C9C"/>
      <sz val="10"/>
    </font>
    <font>
      <name val="Arial"/>
      <b val="1"/>
      <color rgb="0056744F"/>
      <sz val="9"/>
    </font>
    <font>
      <name val="Arial"/>
      <color rgb="008C7B5F"/>
      <sz val="10"/>
    </font>
    <font>
      <name val="Arial"/>
      <b val="1"/>
      <color rgb="009C9C9C"/>
      <sz val="8"/>
    </font>
    <font>
      <name val="Arial"/>
      <b val="1"/>
      <color rgb="003B3B3B"/>
      <sz val="16"/>
    </font>
    <font>
      <name val="Arial"/>
      <color rgb="009C9C9C"/>
      <sz val="8"/>
    </font>
    <font>
      <name val="Arial"/>
      <b val="1"/>
      <color rgb="00C96F5B"/>
      <sz val="16"/>
    </font>
    <font>
      <name val="Arial"/>
      <color rgb="003B3B3B"/>
      <sz val="10"/>
    </font>
    <font>
      <name val="Arial"/>
      <b val="1"/>
      <color rgb="004C9A6C"/>
      <sz val="10"/>
    </font>
    <font>
      <name val="Arial"/>
      <color rgb="004C9A6C"/>
      <sz val="10"/>
    </font>
    <font>
      <name val="Arial"/>
      <b val="1"/>
      <color rgb="008C7B5F"/>
      <sz val="12"/>
    </font>
    <font>
      <name val="Arial"/>
      <i val="1"/>
      <color rgb="009C9C9C"/>
      <sz val="8"/>
    </font>
    <font>
      <name val="Arial"/>
      <color rgb="007D9B76"/>
      <sz val="9"/>
    </font>
    <font>
      <name val="Arial"/>
      <b val="1"/>
      <color rgb="0056744F"/>
      <sz val="10"/>
    </font>
    <font>
      <name val="Arial"/>
      <b val="1"/>
      <color rgb="003B3B3B"/>
      <sz val="10"/>
    </font>
    <font>
      <name val="Arial"/>
      <i val="1"/>
      <color rgb="009C9C9C"/>
      <sz val="9"/>
    </font>
    <font>
      <name val="Arial"/>
      <color rgb="003B3B3B"/>
      <sz val="9"/>
    </font>
    <font>
      <name val="Arial"/>
      <b val="1"/>
      <color rgb="003B3B3B"/>
      <sz val="9"/>
    </font>
    <font>
      <name val="Arial"/>
      <b val="1"/>
      <color rgb="00C96F5B"/>
      <sz val="9"/>
    </font>
  </fonts>
  <fills count="6">
    <fill>
      <patternFill/>
    </fill>
    <fill>
      <patternFill patternType="gray125"/>
    </fill>
    <fill>
      <patternFill patternType="solid">
        <fgColor rgb="007D9B76"/>
      </patternFill>
    </fill>
    <fill>
      <patternFill patternType="solid">
        <fgColor rgb="00F5F0E6"/>
      </patternFill>
    </fill>
    <fill>
      <patternFill patternType="solid">
        <fgColor rgb="00FFFFFF"/>
      </patternFill>
    </fill>
    <fill>
      <patternFill patternType="solid">
        <fgColor rgb="00F5F9F3"/>
      </patternFill>
    </fill>
  </fills>
  <borders count="33">
    <border>
      <left/>
      <right/>
      <top/>
      <bottom/>
      <diagonal/>
    </border>
    <border>
      <bottom style="medium">
        <color rgb="007D9B76"/>
      </bottom>
    </border>
    <border>
      <bottom style="thin">
        <color rgb="00EDEDED"/>
      </bottom>
    </border>
    <border>
      <left style="thick">
        <color rgb="007D9B76"/>
      </left>
      <top style="thin">
        <color rgb="00EDEDED"/>
      </top>
    </border>
    <border>
      <left style="thin">
        <color rgb="00EDEDED"/>
      </left>
      <right style="thin">
        <color rgb="00EDEDED"/>
      </right>
      <top style="thin">
        <color rgb="00EDEDED"/>
      </top>
    </border>
    <border>
      <left style="thick">
        <color rgb="007D9B76"/>
      </left>
    </border>
    <border>
      <left style="thin">
        <color rgb="00EDEDED"/>
      </left>
      <right style="thin">
        <color rgb="00EDEDED"/>
      </right>
    </border>
    <border>
      <left style="thick">
        <color rgb="007D9B76"/>
      </left>
      <bottom style="thin">
        <color rgb="00EDEDED"/>
      </bottom>
    </border>
    <border>
      <left style="thin">
        <color rgb="00EDEDED"/>
      </left>
      <right style="thin">
        <color rgb="00EDEDED"/>
      </right>
      <bottom style="thin">
        <color rgb="00EDEDED"/>
      </bottom>
    </border>
    <border>
      <left style="thick">
        <color rgb="007D9B76"/>
      </left>
      <right style="thin">
        <color rgb="00EDEDED"/>
      </right>
    </border>
    <border>
      <left style="thick">
        <color rgb="007D9B76"/>
      </left>
      <right/>
      <top/>
      <bottom/>
      <diagonal/>
    </border>
    <border>
      <left/>
      <right style="thin">
        <color rgb="00EDEDED"/>
      </right>
      <top/>
      <bottom/>
      <diagonal/>
    </border>
    <border>
      <left style="thick">
        <color rgb="007D9B76"/>
      </left>
      <right style="thin">
        <color rgb="00EDEDED"/>
      </right>
      <bottom style="thin">
        <color rgb="00EDEDED"/>
      </bottom>
    </border>
    <border>
      <left/>
      <right style="thin">
        <color rgb="00EDEDED"/>
      </right>
      <top/>
      <bottom style="thin">
        <color rgb="00EDEDED"/>
      </bottom>
      <diagonal/>
    </border>
    <border>
      <left style="thick">
        <color rgb="00E89A87"/>
      </left>
      <top style="thin">
        <color rgb="00EDEDED"/>
      </top>
    </border>
    <border>
      <left style="thick">
        <color rgb="00E89A87"/>
      </left>
    </border>
    <border>
      <left style="thick">
        <color rgb="00E89A87"/>
      </left>
      <bottom style="thin">
        <color rgb="00EDEDED"/>
      </bottom>
    </border>
    <border>
      <left style="thick">
        <color rgb="00E89A87"/>
      </left>
      <right style="thin">
        <color rgb="00EDEDED"/>
      </right>
    </border>
    <border>
      <left style="thick">
        <color rgb="00E89A87"/>
      </left>
      <right/>
      <top/>
      <bottom/>
      <diagonal/>
    </border>
    <border>
      <left style="thick">
        <color rgb="00E89A87"/>
      </left>
      <right style="thin">
        <color rgb="00EDEDED"/>
      </right>
      <bottom style="thin">
        <color rgb="00EDEDED"/>
      </bottom>
    </border>
    <border>
      <left style="thick">
        <color rgb="00B8A96E"/>
      </left>
      <top style="thin">
        <color rgb="00EDEDED"/>
      </top>
    </border>
    <border>
      <left style="thick">
        <color rgb="00B8A96E"/>
      </left>
    </border>
    <border>
      <left style="thick">
        <color rgb="00B8A96E"/>
      </left>
      <bottom style="thin">
        <color rgb="00EDEDED"/>
      </bottom>
    </border>
    <border>
      <left style="thick">
        <color rgb="00B8A96E"/>
      </left>
      <right style="thin">
        <color rgb="00EDEDED"/>
      </right>
    </border>
    <border>
      <left style="thick">
        <color rgb="00B8A96E"/>
      </left>
      <right/>
      <top/>
      <bottom/>
      <diagonal/>
    </border>
    <border>
      <left style="thick">
        <color rgb="00B8A96E"/>
      </left>
      <right style="thin">
        <color rgb="00EDEDED"/>
      </right>
      <bottom style="thin">
        <color rgb="00EDEDED"/>
      </bottom>
    </border>
    <border>
      <left style="thick">
        <color rgb="0056744F"/>
      </left>
      <top style="thin">
        <color rgb="00EDEDED"/>
      </top>
    </border>
    <border>
      <left style="thick">
        <color rgb="0056744F"/>
      </left>
    </border>
    <border>
      <left style="thick">
        <color rgb="0056744F"/>
      </left>
      <bottom style="thin">
        <color rgb="00EDEDED"/>
      </bottom>
    </border>
    <border>
      <left style="thick">
        <color rgb="0056744F"/>
      </left>
      <right style="thin">
        <color rgb="00EDEDED"/>
      </right>
    </border>
    <border>
      <left style="thick">
        <color rgb="0056744F"/>
      </left>
      <right/>
      <top/>
      <bottom/>
      <diagonal/>
    </border>
    <border>
      <left style="thick">
        <color rgb="0056744F"/>
      </left>
      <right style="thin">
        <color rgb="00EDEDED"/>
      </right>
      <bottom style="thin">
        <color rgb="00EDEDED"/>
      </bottom>
    </border>
    <border>
      <top style="medium">
        <color rgb="007D9B76"/>
      </top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167" fontId="12" fillId="3" borderId="2" applyAlignment="1" pivotButton="0" quotePrefix="0" xfId="0">
      <alignment horizontal="center" vertical="center"/>
    </xf>
    <xf numFmtId="0" fontId="13" fillId="0" borderId="0" pivotButton="0" quotePrefix="0" xfId="0"/>
    <xf numFmtId="0" fontId="5" fillId="4" borderId="3" applyAlignment="1" pivotButton="0" quotePrefix="0" xfId="0">
      <alignment horizontal="left" vertical="center" indent="1"/>
    </xf>
    <xf numFmtId="0" fontId="0" fillId="4" borderId="4" pivotButton="0" quotePrefix="0" xfId="0"/>
    <xf numFmtId="0" fontId="5" fillId="4" borderId="14" applyAlignment="1" pivotButton="0" quotePrefix="0" xfId="0">
      <alignment horizontal="left" vertical="center" indent="1"/>
    </xf>
    <xf numFmtId="0" fontId="5" fillId="4" borderId="20" applyAlignment="1" pivotButton="0" quotePrefix="0" xfId="0">
      <alignment horizontal="left" vertical="center" indent="1"/>
    </xf>
    <xf numFmtId="0" fontId="5" fillId="4" borderId="26" applyAlignment="1" pivotButton="0" quotePrefix="0" xfId="0">
      <alignment horizontal="left" vertical="center" indent="1"/>
    </xf>
    <xf numFmtId="164" fontId="6" fillId="4" borderId="9" applyAlignment="1" pivotButton="0" quotePrefix="0" xfId="0">
      <alignment horizontal="left" vertical="center" indent="1"/>
    </xf>
    <xf numFmtId="0" fontId="0" fillId="0" borderId="11" pivotButton="0" quotePrefix="0" xfId="0"/>
    <xf numFmtId="164" fontId="8" fillId="4" borderId="17" applyAlignment="1" pivotButton="0" quotePrefix="0" xfId="0">
      <alignment horizontal="left" vertical="center" indent="1"/>
    </xf>
    <xf numFmtId="164" fontId="6" fillId="4" borderId="23" applyAlignment="1" pivotButton="0" quotePrefix="0" xfId="0">
      <alignment horizontal="left" vertical="center" indent="1"/>
    </xf>
    <xf numFmtId="168" fontId="6" fillId="4" borderId="29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8" pivotButton="0" quotePrefix="0" xfId="0"/>
    <xf numFmtId="0" fontId="0" fillId="0" borderId="24" pivotButton="0" quotePrefix="0" xfId="0"/>
    <xf numFmtId="0" fontId="0" fillId="0" borderId="30" pivotButton="0" quotePrefix="0" xfId="0"/>
    <xf numFmtId="0" fontId="7" fillId="4" borderId="12" applyAlignment="1" pivotButton="0" quotePrefix="0" xfId="0">
      <alignment horizontal="left" vertical="center" indent="1"/>
    </xf>
    <xf numFmtId="0" fontId="0" fillId="0" borderId="13" pivotButton="0" quotePrefix="0" xfId="0"/>
    <xf numFmtId="0" fontId="7" fillId="4" borderId="19" applyAlignment="1" pivotButton="0" quotePrefix="0" xfId="0">
      <alignment horizontal="left" vertical="center" indent="1"/>
    </xf>
    <xf numFmtId="0" fontId="7" fillId="4" borderId="25" applyAlignment="1" pivotButton="0" quotePrefix="0" xfId="0">
      <alignment horizontal="left" vertical="center" indent="1"/>
    </xf>
    <xf numFmtId="0" fontId="7" fillId="4" borderId="31" applyAlignment="1" pivotButton="0" quotePrefix="0" xfId="0">
      <alignment horizontal="left" vertical="center" indent="1"/>
    </xf>
    <xf numFmtId="0" fontId="3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indent="1"/>
    </xf>
    <xf numFmtId="164" fontId="9" fillId="0" borderId="2" applyAlignment="1" pivotButton="0" quotePrefix="0" xfId="0">
      <alignment horizontal="right" vertical="center"/>
    </xf>
    <xf numFmtId="168" fontId="2" fillId="0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left" vertical="center" indent="1"/>
    </xf>
    <xf numFmtId="0" fontId="7" fillId="0" borderId="0" pivotButton="0" quotePrefix="0" xfId="0"/>
    <xf numFmtId="164" fontId="7" fillId="0" borderId="0" pivotButton="0" quotePrefix="0" xfId="0"/>
    <xf numFmtId="0" fontId="9" fillId="5" borderId="2" applyAlignment="1" pivotButton="0" quotePrefix="0" xfId="0">
      <alignment horizontal="left" vertical="center" indent="1"/>
    </xf>
    <xf numFmtId="164" fontId="9" fillId="5" borderId="2" applyAlignment="1" pivotButton="0" quotePrefix="0" xfId="0">
      <alignment horizontal="right" vertical="center"/>
    </xf>
    <xf numFmtId="168" fontId="2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indent="1"/>
    </xf>
    <xf numFmtId="0" fontId="15" fillId="0" borderId="32" applyAlignment="1" pivotButton="0" quotePrefix="0" xfId="0">
      <alignment horizontal="left" vertical="center" indent="1"/>
    </xf>
    <xf numFmtId="164" fontId="15" fillId="0" borderId="32" applyAlignment="1" pivotButton="0" quotePrefix="0" xfId="0">
      <alignment horizontal="right" vertical="center"/>
    </xf>
    <xf numFmtId="166" fontId="9" fillId="5" borderId="2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 indent="1"/>
    </xf>
    <xf numFmtId="164" fontId="10" fillId="5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left" vertical="center" indent="1"/>
    </xf>
    <xf numFmtId="0" fontId="9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indent="1"/>
    </xf>
    <xf numFmtId="164" fontId="11" fillId="0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166" fontId="9" fillId="5" borderId="2" pivotButton="0" quotePrefix="0" xfId="0"/>
    <xf numFmtId="0" fontId="9" fillId="5" borderId="2" pivotButton="0" quotePrefix="0" xfId="0"/>
    <xf numFmtId="164" fontId="9" fillId="5" borderId="2" applyAlignment="1" pivotButton="0" quotePrefix="0" xfId="0">
      <alignment horizontal="right"/>
    </xf>
    <xf numFmtId="166" fontId="9" fillId="0" borderId="2" pivotButton="0" quotePrefix="0" xfId="0"/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164" fontId="4" fillId="3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0" fillId="0" borderId="32" pivotButton="0" quotePrefix="0" xfId="0"/>
    <xf numFmtId="169" fontId="6" fillId="4" borderId="9" applyAlignment="1" pivotButton="0" quotePrefix="0" xfId="0">
      <alignment horizontal="left" vertical="center" indent="1"/>
    </xf>
    <xf numFmtId="169" fontId="6" fillId="4" borderId="29" applyAlignment="1" pivotButton="0" quotePrefix="0" xfId="0">
      <alignment horizontal="left" vertical="center" indent="1"/>
    </xf>
    <xf numFmtId="168" fontId="6" fillId="4" borderId="23" applyAlignment="1" pivotButton="0" quotePrefix="0" xfId="0">
      <alignment horizontal="left" vertical="center" indent="1"/>
    </xf>
    <xf numFmtId="0" fontId="0" fillId="4" borderId="7" pivotButton="0" quotePrefix="0" xfId="0"/>
    <xf numFmtId="0" fontId="0" fillId="4" borderId="8" pivotButton="0" quotePrefix="0" xfId="0"/>
    <xf numFmtId="0" fontId="0" fillId="4" borderId="28" pivotButton="0" quotePrefix="0" xfId="0"/>
    <xf numFmtId="0" fontId="0" fillId="4" borderId="22" pivotButton="0" quotePrefix="0" xfId="0"/>
    <xf numFmtId="0" fontId="4" fillId="3" borderId="2" applyAlignment="1" pivotButton="0" quotePrefix="0" xfId="0">
      <alignment horizontal="left" vertical="center" indent="1"/>
    </xf>
    <xf numFmtId="169" fontId="4" fillId="3" borderId="2" applyAlignment="1" pivotButton="0" quotePrefix="0" xfId="0">
      <alignment horizontal="right" vertical="center"/>
    </xf>
    <xf numFmtId="170" fontId="4" fillId="3" borderId="2" applyAlignment="1" pivotButton="0" quotePrefix="0" xfId="0">
      <alignment horizontal="left" vertical="center" indent="1"/>
    </xf>
    <xf numFmtId="1" fontId="2" fillId="0" borderId="2" applyAlignment="1" pivotButton="0" quotePrefix="0" xfId="0">
      <alignment horizontal="right" vertical="center"/>
    </xf>
    <xf numFmtId="164" fontId="16" fillId="0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right" vertical="center"/>
    </xf>
    <xf numFmtId="164" fontId="16" fillId="5" borderId="2" applyAlignment="1" pivotButton="0" quotePrefix="0" xfId="0">
      <alignment horizontal="right" vertical="center"/>
    </xf>
    <xf numFmtId="0" fontId="17" fillId="0" borderId="0" pivotButton="0" quotePrefix="0" xfId="0"/>
    <xf numFmtId="1" fontId="12" fillId="3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indent="1"/>
    </xf>
    <xf numFmtId="169" fontId="18" fillId="0" borderId="2" applyAlignment="1" pivotButton="0" quotePrefix="0" xfId="0">
      <alignment horizontal="right" vertical="center"/>
    </xf>
    <xf numFmtId="169" fontId="19" fillId="0" borderId="2" applyAlignment="1" pivotButton="0" quotePrefix="0" xfId="0">
      <alignment horizontal="right" vertical="center"/>
    </xf>
    <xf numFmtId="0" fontId="20" fillId="0" borderId="32" applyAlignment="1" pivotButton="0" quotePrefix="0" xfId="0">
      <alignment horizontal="left" vertical="center" indent="1"/>
    </xf>
    <xf numFmtId="169" fontId="20" fillId="0" borderId="2" applyAlignment="1" pivotButton="0" quotePrefix="0" xfId="0">
      <alignment horizontal="right" vertical="center"/>
    </xf>
    <xf numFmtId="0" fontId="3" fillId="0" borderId="32" applyAlignment="1" pivotButton="0" quotePrefix="0" xfId="0">
      <alignment horizontal="left" vertical="center" indent="1"/>
    </xf>
    <xf numFmtId="169" fontId="3" fillId="0" borderId="2" applyAlignment="1" pivotButton="0" quotePrefix="0" xfId="0">
      <alignment horizontal="right" vertical="center"/>
    </xf>
    <xf numFmtId="0" fontId="19" fillId="0" borderId="32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C96F5B"/>
        <sz val="10"/>
      </font>
      <fill>
        <patternFill patternType="solid">
          <fgColor rgb="00FBE9E5"/>
        </patternFill>
      </fill>
    </dxf>
    <dxf>
      <font>
        <name val="Arial"/>
        <b val="1"/>
        <color rgb="00C96F5B"/>
        <sz val="10"/>
      </font>
    </dxf>
    <dxf>
      <font>
        <name val="Arial"/>
        <b val="1"/>
        <color rgb="00C96F5B"/>
        <sz val="9"/>
      </font>
      <fill>
        <patternFill patternType="solid">
          <fgColor rgb="00FBE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of spending — top 5 categories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A8A2F"/>
              </a:solidFill>
              <a:ln w="28575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0603A"/>
              </a:solidFill>
              <a:ln w="28575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0958A"/>
              </a:solidFill>
              <a:ln w="28575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B5830A"/>
              </a:solidFill>
              <a:ln w="28575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A559B5"/>
              </a:solidFill>
              <a:ln w="28575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9C9C9C"/>
              </a:solidFill>
              <a:ln w="28575">
                <a:solidFill>
                  <a:srgbClr val="FFFFFF"/>
                </a:solidFill>
                <a:prstDash val="solid"/>
              </a:ln>
            </spPr>
          </dPt>
          <cat>
            <numRef>
              <f>'🏠 Dashboard'!$Q$15:$Q$20</f>
            </numRef>
          </cat>
          <val>
            <numRef>
              <f>'🏠 Dashboard'!$R$15:$R$20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62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— last 6 months</a:t>
            </a:r>
          </a:p>
        </rich>
      </tx>
    </title>
    <plotArea>
      <lineChart>
        <grouping val="standard"/>
        <ser>
          <idx val="0"/>
          <order val="0"/>
          <tx>
            <strRef>
              <f>'🏠 Dashboard'!N35</f>
            </strRef>
          </tx>
          <spPr>
            <a:ln w="22000">
              <a:solidFill>
                <a:srgbClr val="4A8A2F"/>
              </a:solidFill>
              <a:prstDash val="solid"/>
            </a:ln>
          </spPr>
          <marker>
            <symbol val="circle"/>
            <size val="7"/>
            <spPr>
              <a:solidFill>
                <a:srgbClr val="4A8A2F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'🏠 Dashboard'!$O$34:$T$34</f>
            </numRef>
          </cat>
          <val>
            <numRef>
              <f>'🏠 Dashboard'!$O$35:$T$35</f>
            </numRef>
          </val>
          <smooth val="0"/>
        </ser>
        <ser>
          <idx val="1"/>
          <order val="1"/>
          <tx>
            <strRef>
              <f>'🏠 Dashboard'!N36</f>
            </strRef>
          </tx>
          <spPr>
            <a:ln w="22000">
              <a:solidFill>
                <a:srgbClr val="E0603A"/>
              </a:solidFill>
              <a:prstDash val="solid"/>
            </a:ln>
          </spPr>
          <marker>
            <symbol val="square"/>
            <size val="7"/>
            <spPr>
              <a:solidFill>
                <a:srgbClr val="E0603A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'🏠 Dashboard'!$O$34:$T$34</f>
            </numRef>
          </cat>
          <val>
            <numRef>
              <f>'🏠 Dashboard'!$O$36:$T$36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spending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Year'!B26</f>
            </strRef>
          </tx>
          <spPr>
            <a:solidFill>
              <a:srgbClr val="4A8A2F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'📅 Year'!$C$8:$N$8</f>
            </numRef>
          </cat>
          <val>
            <numRef>
              <f>'📅 Year'!$C$26:$N$26</f>
            </numRef>
          </val>
        </ser>
        <ser>
          <idx val="1"/>
          <order val="1"/>
          <tx>
            <strRef>
              <f>'📅 Year'!B25</f>
            </strRef>
          </tx>
          <spPr>
            <a:solidFill>
              <a:srgbClr val="E0603A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'📅 Year'!$C$8:$N$8</f>
            </numRef>
          </cat>
          <val>
            <numRef>
              <f>'📅 Year'!$C$25:$N$25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13</row>
      <rowOff>0</rowOff>
    </from>
    <ext cx="450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33</row>
      <rowOff>0</rowOff>
    </from>
    <ext cx="77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91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7D9B76"/>
    <outlinePr summaryBelow="1" summaryRight="1"/>
    <pageSetUpPr/>
  </sheetPr>
  <dimension ref="B2:T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" customWidth="1" min="2" max="2"/>
    <col width="12" customWidth="1" min="3" max="3"/>
    <col width="12" customWidth="1" min="4" max="4"/>
    <col width="12" customWidth="1" min="5" max="5"/>
    <col width="15" customWidth="1" min="6" max="6"/>
    <col width="3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2" ht="30" customHeight="1">
      <c r="B2" s="1" t="inlineStr">
        <is>
          <t>🏠 Dashboard</t>
        </is>
      </c>
    </row>
    <row r="3">
      <c r="B3" s="2" t="inlineStr">
        <is>
          <t>Your month at a glance — pick a month below and every number follows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8" customHeight="1"/>
    <row r="6" ht="22" customHeight="1">
      <c r="B6" s="4" t="inlineStr">
        <is>
          <t>VIEWING MONTH</t>
        </is>
      </c>
      <c r="C6" s="5" t="n">
        <v>46204</v>
      </c>
      <c r="D6" s="6" t="inlineStr">
        <is>
          <t>← type any date in a month (e.g. 6/1/2026) to travel there</t>
        </is>
      </c>
    </row>
    <row r="7" ht="8" customHeight="1"/>
    <row r="8" ht="16" customHeight="1">
      <c r="B8" s="7" t="inlineStr">
        <is>
          <t>💰  INCOME</t>
        </is>
      </c>
      <c r="C8" s="8" t="n"/>
      <c r="D8" s="9" t="inlineStr">
        <is>
          <t>💸  EXPENSES</t>
        </is>
      </c>
      <c r="E8" s="8" t="n"/>
      <c r="F8" s="10" t="inlineStr">
        <is>
          <t>💼  NET</t>
        </is>
      </c>
      <c r="G8" s="8" t="n"/>
      <c r="H8" s="11" t="inlineStr">
        <is>
          <t>🌱  SAVINGS RATE</t>
        </is>
      </c>
      <c r="I8" s="8" t="n"/>
    </row>
    <row r="9" ht="15" customHeight="1">
      <c r="B9" s="12">
        <f>SUMIFS('💳 Transactions'!$I$12:$I$5000,'💳 Transactions'!$B$12:$B$5000,"&gt;="&amp;'🏠 Dashboard'!$C$6,'💳 Transactions'!$B$12:$B$5000,"&lt;"&amp;EOMONTH('🏠 Dashboard'!$C$6,0)+1)</f>
        <v/>
      </c>
      <c r="C9" s="13" t="n"/>
      <c r="D9" s="14">
        <f>SUMIFS('💳 Transactions'!$J$12:$J$5000,'💳 Transactions'!$B$12:$B$5000,"&gt;="&amp;'🏠 Dashboard'!$C$6,'💳 Transactions'!$B$12:$B$5000,"&lt;"&amp;EOMONTH('🏠 Dashboard'!$C$6,0)+1)</f>
        <v/>
      </c>
      <c r="E9" s="13" t="n"/>
      <c r="F9" s="15">
        <f>SUMIFS('💳 Transactions'!$I$12:$I$5000,'💳 Transactions'!$B$12:$B$5000,"&gt;="&amp;'🏠 Dashboard'!$C$6,'💳 Transactions'!$B$12:$B$5000,"&lt;"&amp;EOMONTH('🏠 Dashboard'!$C$6,0)+1)-SUMIFS('💳 Transactions'!$J$12:$J$5000,'💳 Transactions'!$B$12:$B$5000,"&gt;="&amp;'🏠 Dashboard'!$C$6,'💳 Transactions'!$B$12:$B$5000,"&lt;"&amp;EOMONTH('🏠 Dashboard'!$C$6,0)+1)</f>
        <v/>
      </c>
      <c r="G9" s="13" t="n"/>
      <c r="H9" s="16">
        <f>IFERROR((SUMIFS('💳 Transactions'!$J$12:$J$5000,'💳 Transactions'!$E$12:$E$5000,"Savings",'💳 Transactions'!$B$12:$B$5000,"&gt;="&amp;'🏠 Dashboard'!$C$6,'💳 Transactions'!$B$12:$B$5000,"&lt;"&amp;EOMONTH('🏠 Dashboard'!$C$6,0)+1)+SUMIFS('💳 Transactions'!$J$12:$J$5000,'💳 Transactions'!$E$12:$E$5000,"Investments",'💳 Transactions'!$B$12:$B$5000,"&gt;="&amp;'🏠 Dashboard'!$C$6,'💳 Transactions'!$B$12:$B$5000,"&lt;"&amp;EOMONTH('🏠 Dashboard'!$C$6,0)+1)+SUMIFS('💳 Transactions'!$I$12:$I$5000,'💳 Transactions'!$B$12:$B$5000,"&gt;="&amp;'🏠 Dashboard'!$C$6,'💳 Transactions'!$B$12:$B$5000,"&lt;"&amp;EOMONTH('🏠 Dashboard'!$C$6,0)+1)-SUMIFS('💳 Transactions'!$J$12:$J$5000,'💳 Transactions'!$B$12:$B$5000,"&gt;="&amp;'🏠 Dashboard'!$C$6,'💳 Transactions'!$B$12:$B$5000,"&lt;"&amp;EOMONTH('🏠 Dashboard'!$C$6,0)+1))/SUMIFS('💳 Transactions'!$I$12:$I$5000,'💳 Transactions'!$B$12:$B$5000,"&gt;="&amp;'🏠 Dashboard'!$C$6,'💳 Transactions'!$B$12:$B$5000,"&lt;"&amp;EOMONTH('🏠 Dashboard'!$C$6,0)+1),0)</f>
        <v/>
      </c>
      <c r="I9" s="13" t="n"/>
    </row>
    <row r="10" ht="15" customHeight="1">
      <c r="B10" s="17" t="n"/>
      <c r="C10" s="13" t="n"/>
      <c r="D10" s="18" t="n"/>
      <c r="E10" s="13" t="n"/>
      <c r="F10" s="19" t="n"/>
      <c r="G10" s="13" t="n"/>
      <c r="H10" s="20" t="n"/>
      <c r="I10" s="13" t="n"/>
    </row>
    <row r="11" ht="13" customHeight="1">
      <c r="B11" s="21">
        <f>"vs "&amp;TEXT(SUMIFS('💳 Transactions'!$I$12:$I$5000,'💳 Transactions'!$B$12:$B$5000,"&gt;="&amp;EDATE('🏠 Dashboard'!$C$6,-1),'💳 Transactions'!$B$12:$B$5000,"&lt;"&amp;'🏠 Dashboard'!$C$6),"$#,##0")&amp;" last month"</f>
        <v/>
      </c>
      <c r="C11" s="22" t="n"/>
      <c r="D11" s="23">
        <f>"vs "&amp;TEXT(SUMIFS('💳 Transactions'!$J$12:$J$5000,'💳 Transactions'!$B$12:$B$5000,"&gt;="&amp;EDATE('🏠 Dashboard'!$C$6,-1),'💳 Transactions'!$B$12:$B$5000,"&lt;"&amp;'🏠 Dashboard'!$C$6),"$#,##0")&amp;" last month"</f>
        <v/>
      </c>
      <c r="E11" s="22" t="n"/>
      <c r="F11" s="24">
        <f>"Income − expenses"</f>
        <v/>
      </c>
      <c r="G11" s="22" t="n"/>
      <c r="H11" s="25">
        <f>"Saved + invested + leftover"</f>
        <v/>
      </c>
      <c r="I11" s="22" t="n"/>
    </row>
    <row r="13" ht="20" customHeight="1">
      <c r="B13" s="26" t="inlineStr">
        <is>
          <t>WHERE THE MONEY WENT</t>
        </is>
      </c>
      <c r="N13" s="27" t="inlineStr">
        <is>
          <t>CHART DATA (auto — no need to touch)</t>
        </is>
      </c>
    </row>
    <row r="14" ht="22" customHeight="1">
      <c r="B14" s="28" t="inlineStr">
        <is>
          <t>CATEGORY</t>
        </is>
      </c>
      <c r="C14" s="29" t="inlineStr">
        <is>
          <t>SPENT</t>
        </is>
      </c>
      <c r="D14" s="29" t="inlineStr">
        <is>
          <t>% OF SPEND</t>
        </is>
      </c>
      <c r="E14" s="28" t="inlineStr">
        <is>
          <t> </t>
        </is>
      </c>
    </row>
    <row r="15" ht="18" customHeight="1">
      <c r="B15" s="30" t="inlineStr">
        <is>
          <t>🏠  Housing</t>
        </is>
      </c>
      <c r="C15" s="31">
        <f>SUMIFS('💳 Transactions'!$J$12:$J$5000,'💳 Transactions'!$E$12:$E$5000,"Housing",'💳 Transactions'!$B$12:$B$5000,"&gt;="&amp;'🏠 Dashboard'!$C$6,'💳 Transactions'!$B$12:$B$5000,"&lt;"&amp;EOMONTH('🏠 Dashboard'!$C$6,0)+1)</f>
        <v/>
      </c>
      <c r="D15" s="32">
        <f>IFERROR($C15/SUMIFS('💳 Transactions'!$J$12:$J$5000,'💳 Transactions'!$B$12:$B$5000,"&gt;="&amp;'🏠 Dashboard'!$C$6,'💳 Transactions'!$B$12:$B$5000,"&lt;"&amp;EOMONTH('🏠 Dashboard'!$C$6,0)+1),0)</f>
        <v/>
      </c>
      <c r="E15" s="33">
        <f>REPT("█",ROUND(MAX(0,MIN(1,$C15/MAX($C$15:$C$30)))*10,0))&amp;REPT("░",10-ROUND(MAX(0,MIN(1,$C15/MAX($C$15:$C$30)))*10,0))</f>
        <v/>
      </c>
      <c r="N15" s="34" t="inlineStr">
        <is>
          <t>Housing</t>
        </is>
      </c>
      <c r="O15" s="35">
        <f>SUMIFS('💳 Transactions'!$J$12:$J$5000,'💳 Transactions'!$E$12:$E$5000,"Housing",'💳 Transactions'!$B$12:$B$5000,"&gt;="&amp;'🏠 Dashboard'!$C$6,'💳 Transactions'!$B$12:$B$5000,"&lt;"&amp;EOMONTH('🏠 Dashboard'!$C$6,0)+1)+ROW()/10000000</f>
        <v/>
      </c>
      <c r="Q15" s="34">
        <f>INDEX($N$15:$N$30,MATCH(LARGE($O$15:$O$30,1),$O$15:$O$30,0))</f>
        <v/>
      </c>
      <c r="R15" s="35">
        <f>ROUND(LARGE($O$15:$O$30,1),2)</f>
        <v/>
      </c>
    </row>
    <row r="16" ht="18" customHeight="1">
      <c r="B16" s="36" t="inlineStr">
        <is>
          <t>🍽️  Food</t>
        </is>
      </c>
      <c r="C16" s="37">
        <f>SUMIFS('💳 Transactions'!$J$12:$J$5000,'💳 Transactions'!$E$12:$E$5000,"Food",'💳 Transactions'!$B$12:$B$5000,"&gt;="&amp;'🏠 Dashboard'!$C$6,'💳 Transactions'!$B$12:$B$5000,"&lt;"&amp;EOMONTH('🏠 Dashboard'!$C$6,0)+1)</f>
        <v/>
      </c>
      <c r="D16" s="38">
        <f>IFERROR($C16/SUMIFS('💳 Transactions'!$J$12:$J$5000,'💳 Transactions'!$B$12:$B$5000,"&gt;="&amp;'🏠 Dashboard'!$C$6,'💳 Transactions'!$B$12:$B$5000,"&lt;"&amp;EOMONTH('🏠 Dashboard'!$C$6,0)+1),0)</f>
        <v/>
      </c>
      <c r="E16" s="39">
        <f>REPT("█",ROUND(MAX(0,MIN(1,$C16/MAX($C$15:$C$30)))*10,0))&amp;REPT("░",10-ROUND(MAX(0,MIN(1,$C16/MAX($C$15:$C$30)))*10,0))</f>
        <v/>
      </c>
      <c r="N16" s="34" t="inlineStr">
        <is>
          <t>Food</t>
        </is>
      </c>
      <c r="O16" s="35">
        <f>SUMIFS('💳 Transactions'!$J$12:$J$5000,'💳 Transactions'!$E$12:$E$5000,"Food",'💳 Transactions'!$B$12:$B$5000,"&gt;="&amp;'🏠 Dashboard'!$C$6,'💳 Transactions'!$B$12:$B$5000,"&lt;"&amp;EOMONTH('🏠 Dashboard'!$C$6,0)+1)+ROW()/10000000</f>
        <v/>
      </c>
      <c r="Q16" s="34">
        <f>INDEX($N$15:$N$30,MATCH(LARGE($O$15:$O$30,2),$O$15:$O$30,0))</f>
        <v/>
      </c>
      <c r="R16" s="35">
        <f>ROUND(LARGE($O$15:$O$30,2),2)</f>
        <v/>
      </c>
    </row>
    <row r="17" ht="18" customHeight="1">
      <c r="B17" s="30" t="inlineStr">
        <is>
          <t>🚗  Transportation</t>
        </is>
      </c>
      <c r="C17" s="31">
        <f>SUMIFS('💳 Transactions'!$J$12:$J$5000,'💳 Transactions'!$E$12:$E$5000,"Transportation",'💳 Transactions'!$B$12:$B$5000,"&gt;="&amp;'🏠 Dashboard'!$C$6,'💳 Transactions'!$B$12:$B$5000,"&lt;"&amp;EOMONTH('🏠 Dashboard'!$C$6,0)+1)</f>
        <v/>
      </c>
      <c r="D17" s="32">
        <f>IFERROR($C17/SUMIFS('💳 Transactions'!$J$12:$J$5000,'💳 Transactions'!$B$12:$B$5000,"&gt;="&amp;'🏠 Dashboard'!$C$6,'💳 Transactions'!$B$12:$B$5000,"&lt;"&amp;EOMONTH('🏠 Dashboard'!$C$6,0)+1),0)</f>
        <v/>
      </c>
      <c r="E17" s="33">
        <f>REPT("█",ROUND(MAX(0,MIN(1,$C17/MAX($C$15:$C$30)))*10,0))&amp;REPT("░",10-ROUND(MAX(0,MIN(1,$C17/MAX($C$15:$C$30)))*10,0))</f>
        <v/>
      </c>
      <c r="N17" s="34" t="inlineStr">
        <is>
          <t>Transportation</t>
        </is>
      </c>
      <c r="O17" s="35">
        <f>SUMIFS('💳 Transactions'!$J$12:$J$5000,'💳 Transactions'!$E$12:$E$5000,"Transportation",'💳 Transactions'!$B$12:$B$5000,"&gt;="&amp;'🏠 Dashboard'!$C$6,'💳 Transactions'!$B$12:$B$5000,"&lt;"&amp;EOMONTH('🏠 Dashboard'!$C$6,0)+1)+ROW()/10000000</f>
        <v/>
      </c>
      <c r="Q17" s="34">
        <f>INDEX($N$15:$N$30,MATCH(LARGE($O$15:$O$30,3),$O$15:$O$30,0))</f>
        <v/>
      </c>
      <c r="R17" s="35">
        <f>ROUND(LARGE($O$15:$O$30,3),2)</f>
        <v/>
      </c>
    </row>
    <row r="18" ht="18" customHeight="1">
      <c r="B18" s="36" t="inlineStr">
        <is>
          <t>🛍️  Shopping</t>
        </is>
      </c>
      <c r="C18" s="37">
        <f>SUMIFS('💳 Transactions'!$J$12:$J$5000,'💳 Transactions'!$E$12:$E$5000,"Shopping",'💳 Transactions'!$B$12:$B$5000,"&gt;="&amp;'🏠 Dashboard'!$C$6,'💳 Transactions'!$B$12:$B$5000,"&lt;"&amp;EOMONTH('🏠 Dashboard'!$C$6,0)+1)</f>
        <v/>
      </c>
      <c r="D18" s="38">
        <f>IFERROR($C18/SUMIFS('💳 Transactions'!$J$12:$J$5000,'💳 Transactions'!$B$12:$B$5000,"&gt;="&amp;'🏠 Dashboard'!$C$6,'💳 Transactions'!$B$12:$B$5000,"&lt;"&amp;EOMONTH('🏠 Dashboard'!$C$6,0)+1),0)</f>
        <v/>
      </c>
      <c r="E18" s="39">
        <f>REPT("█",ROUND(MAX(0,MIN(1,$C18/MAX($C$15:$C$30)))*10,0))&amp;REPT("░",10-ROUND(MAX(0,MIN(1,$C18/MAX($C$15:$C$30)))*10,0))</f>
        <v/>
      </c>
      <c r="N18" s="34" t="inlineStr">
        <is>
          <t>Shopping</t>
        </is>
      </c>
      <c r="O18" s="35">
        <f>SUMIFS('💳 Transactions'!$J$12:$J$5000,'💳 Transactions'!$E$12:$E$5000,"Shopping",'💳 Transactions'!$B$12:$B$5000,"&gt;="&amp;'🏠 Dashboard'!$C$6,'💳 Transactions'!$B$12:$B$5000,"&lt;"&amp;EOMONTH('🏠 Dashboard'!$C$6,0)+1)+ROW()/10000000</f>
        <v/>
      </c>
      <c r="Q18" s="34">
        <f>INDEX($N$15:$N$30,MATCH(LARGE($O$15:$O$30,4),$O$15:$O$30,0))</f>
        <v/>
      </c>
      <c r="R18" s="35">
        <f>ROUND(LARGE($O$15:$O$30,4),2)</f>
        <v/>
      </c>
    </row>
    <row r="19" ht="18" customHeight="1">
      <c r="B19" s="30" t="inlineStr">
        <is>
          <t>🎬  Entertainment</t>
        </is>
      </c>
      <c r="C19" s="31">
        <f>SUMIFS('💳 Transactions'!$J$12:$J$5000,'💳 Transactions'!$E$12:$E$5000,"Entertainment",'💳 Transactions'!$B$12:$B$5000,"&gt;="&amp;'🏠 Dashboard'!$C$6,'💳 Transactions'!$B$12:$B$5000,"&lt;"&amp;EOMONTH('🏠 Dashboard'!$C$6,0)+1)</f>
        <v/>
      </c>
      <c r="D19" s="32">
        <f>IFERROR($C19/SUMIFS('💳 Transactions'!$J$12:$J$5000,'💳 Transactions'!$B$12:$B$5000,"&gt;="&amp;'🏠 Dashboard'!$C$6,'💳 Transactions'!$B$12:$B$5000,"&lt;"&amp;EOMONTH('🏠 Dashboard'!$C$6,0)+1),0)</f>
        <v/>
      </c>
      <c r="E19" s="33">
        <f>REPT("█",ROUND(MAX(0,MIN(1,$C19/MAX($C$15:$C$30)))*10,0))&amp;REPT("░",10-ROUND(MAX(0,MIN(1,$C19/MAX($C$15:$C$30)))*10,0))</f>
        <v/>
      </c>
      <c r="N19" s="34" t="inlineStr">
        <is>
          <t>Entertainment</t>
        </is>
      </c>
      <c r="O19" s="35">
        <f>SUMIFS('💳 Transactions'!$J$12:$J$5000,'💳 Transactions'!$E$12:$E$5000,"Entertainment",'💳 Transactions'!$B$12:$B$5000,"&gt;="&amp;'🏠 Dashboard'!$C$6,'💳 Transactions'!$B$12:$B$5000,"&lt;"&amp;EOMONTH('🏠 Dashboard'!$C$6,0)+1)+ROW()/10000000</f>
        <v/>
      </c>
      <c r="Q19" s="34">
        <f>INDEX($N$15:$N$30,MATCH(LARGE($O$15:$O$30,5),$O$15:$O$30,0))</f>
        <v/>
      </c>
      <c r="R19" s="35">
        <f>ROUND(LARGE($O$15:$O$30,5),2)</f>
        <v/>
      </c>
    </row>
    <row r="20" ht="18" customHeight="1">
      <c r="B20" s="36" t="inlineStr">
        <is>
          <t>🩺  Health</t>
        </is>
      </c>
      <c r="C20" s="37">
        <f>SUMIFS('💳 Transactions'!$J$12:$J$5000,'💳 Transactions'!$E$12:$E$5000,"Health",'💳 Transactions'!$B$12:$B$5000,"&gt;="&amp;'🏠 Dashboard'!$C$6,'💳 Transactions'!$B$12:$B$5000,"&lt;"&amp;EOMONTH('🏠 Dashboard'!$C$6,0)+1)</f>
        <v/>
      </c>
      <c r="D20" s="38">
        <f>IFERROR($C20/SUMIFS('💳 Transactions'!$J$12:$J$5000,'💳 Transactions'!$B$12:$B$5000,"&gt;="&amp;'🏠 Dashboard'!$C$6,'💳 Transactions'!$B$12:$B$5000,"&lt;"&amp;EOMONTH('🏠 Dashboard'!$C$6,0)+1),0)</f>
        <v/>
      </c>
      <c r="E20" s="39">
        <f>REPT("█",ROUND(MAX(0,MIN(1,$C20/MAX($C$15:$C$30)))*10,0))&amp;REPT("░",10-ROUND(MAX(0,MIN(1,$C20/MAX($C$15:$C$30)))*10,0))</f>
        <v/>
      </c>
      <c r="N20" s="34" t="inlineStr">
        <is>
          <t>Health</t>
        </is>
      </c>
      <c r="O20" s="35">
        <f>SUMIFS('💳 Transactions'!$J$12:$J$5000,'💳 Transactions'!$E$12:$E$5000,"Health",'💳 Transactions'!$B$12:$B$5000,"&gt;="&amp;'🏠 Dashboard'!$C$6,'💳 Transactions'!$B$12:$B$5000,"&lt;"&amp;EOMONTH('🏠 Dashboard'!$C$6,0)+1)+ROW()/10000000</f>
        <v/>
      </c>
      <c r="Q20" s="34" t="inlineStr">
        <is>
          <t>Other</t>
        </is>
      </c>
      <c r="R20" s="35">
        <f>MAX(0,ROUND(SUMIFS('💳 Transactions'!$J$12:$J$5000,'💳 Transactions'!$B$12:$B$5000,"&gt;="&amp;'🏠 Dashboard'!$C$6,'💳 Transactions'!$B$12:$B$5000,"&lt;"&amp;EOMONTH('🏠 Dashboard'!$C$6,0)+1)-SUM($R$15:$R$19),2))</f>
        <v/>
      </c>
    </row>
    <row r="21" ht="18" customHeight="1">
      <c r="B21" s="30" t="inlineStr">
        <is>
          <t>🛡️  Insurance</t>
        </is>
      </c>
      <c r="C21" s="31">
        <f>SUMIFS('💳 Transactions'!$J$12:$J$5000,'💳 Transactions'!$E$12:$E$5000,"Insurance",'💳 Transactions'!$B$12:$B$5000,"&gt;="&amp;'🏠 Dashboard'!$C$6,'💳 Transactions'!$B$12:$B$5000,"&lt;"&amp;EOMONTH('🏠 Dashboard'!$C$6,0)+1)</f>
        <v/>
      </c>
      <c r="D21" s="32">
        <f>IFERROR($C21/SUMIFS('💳 Transactions'!$J$12:$J$5000,'💳 Transactions'!$B$12:$B$5000,"&gt;="&amp;'🏠 Dashboard'!$C$6,'💳 Transactions'!$B$12:$B$5000,"&lt;"&amp;EOMONTH('🏠 Dashboard'!$C$6,0)+1),0)</f>
        <v/>
      </c>
      <c r="E21" s="33">
        <f>REPT("█",ROUND(MAX(0,MIN(1,$C21/MAX($C$15:$C$30)))*10,0))&amp;REPT("░",10-ROUND(MAX(0,MIN(1,$C21/MAX($C$15:$C$30)))*10,0))</f>
        <v/>
      </c>
      <c r="N21" s="34" t="inlineStr">
        <is>
          <t>Insurance</t>
        </is>
      </c>
      <c r="O21" s="35">
        <f>SUMIFS('💳 Transactions'!$J$12:$J$5000,'💳 Transactions'!$E$12:$E$5000,"Insurance",'💳 Transactions'!$B$12:$B$5000,"&gt;="&amp;'🏠 Dashboard'!$C$6,'💳 Transactions'!$B$12:$B$5000,"&lt;"&amp;EOMONTH('🏠 Dashboard'!$C$6,0)+1)+ROW()/10000000</f>
        <v/>
      </c>
    </row>
    <row r="22" ht="18" customHeight="1">
      <c r="B22" s="36" t="inlineStr">
        <is>
          <t>✈️  Travel</t>
        </is>
      </c>
      <c r="C22" s="37">
        <f>SUMIFS('💳 Transactions'!$J$12:$J$5000,'💳 Transactions'!$E$12:$E$5000,"Travel",'💳 Transactions'!$B$12:$B$5000,"&gt;="&amp;'🏠 Dashboard'!$C$6,'💳 Transactions'!$B$12:$B$5000,"&lt;"&amp;EOMONTH('🏠 Dashboard'!$C$6,0)+1)</f>
        <v/>
      </c>
      <c r="D22" s="38">
        <f>IFERROR($C22/SUMIFS('💳 Transactions'!$J$12:$J$5000,'💳 Transactions'!$B$12:$B$5000,"&gt;="&amp;'🏠 Dashboard'!$C$6,'💳 Transactions'!$B$12:$B$5000,"&lt;"&amp;EOMONTH('🏠 Dashboard'!$C$6,0)+1),0)</f>
        <v/>
      </c>
      <c r="E22" s="39">
        <f>REPT("█",ROUND(MAX(0,MIN(1,$C22/MAX($C$15:$C$30)))*10,0))&amp;REPT("░",10-ROUND(MAX(0,MIN(1,$C22/MAX($C$15:$C$30)))*10,0))</f>
        <v/>
      </c>
      <c r="N22" s="34" t="inlineStr">
        <is>
          <t>Travel</t>
        </is>
      </c>
      <c r="O22" s="35">
        <f>SUMIFS('💳 Transactions'!$J$12:$J$5000,'💳 Transactions'!$E$12:$E$5000,"Travel",'💳 Transactions'!$B$12:$B$5000,"&gt;="&amp;'🏠 Dashboard'!$C$6,'💳 Transactions'!$B$12:$B$5000,"&lt;"&amp;EOMONTH('🏠 Dashboard'!$C$6,0)+1)+ROW()/10000000</f>
        <v/>
      </c>
    </row>
    <row r="23" ht="18" customHeight="1">
      <c r="B23" s="30" t="inlineStr">
        <is>
          <t>🎓  Education</t>
        </is>
      </c>
      <c r="C23" s="31">
        <f>SUMIFS('💳 Transactions'!$J$12:$J$5000,'💳 Transactions'!$E$12:$E$5000,"Education",'💳 Transactions'!$B$12:$B$5000,"&gt;="&amp;'🏠 Dashboard'!$C$6,'💳 Transactions'!$B$12:$B$5000,"&lt;"&amp;EOMONTH('🏠 Dashboard'!$C$6,0)+1)</f>
        <v/>
      </c>
      <c r="D23" s="32">
        <f>IFERROR($C23/SUMIFS('💳 Transactions'!$J$12:$J$5000,'💳 Transactions'!$B$12:$B$5000,"&gt;="&amp;'🏠 Dashboard'!$C$6,'💳 Transactions'!$B$12:$B$5000,"&lt;"&amp;EOMONTH('🏠 Dashboard'!$C$6,0)+1),0)</f>
        <v/>
      </c>
      <c r="E23" s="33">
        <f>REPT("█",ROUND(MAX(0,MIN(1,$C23/MAX($C$15:$C$30)))*10,0))&amp;REPT("░",10-ROUND(MAX(0,MIN(1,$C23/MAX($C$15:$C$30)))*10,0))</f>
        <v/>
      </c>
      <c r="N23" s="34" t="inlineStr">
        <is>
          <t>Education</t>
        </is>
      </c>
      <c r="O23" s="35">
        <f>SUMIFS('💳 Transactions'!$J$12:$J$5000,'💳 Transactions'!$E$12:$E$5000,"Education",'💳 Transactions'!$B$12:$B$5000,"&gt;="&amp;'🏠 Dashboard'!$C$6,'💳 Transactions'!$B$12:$B$5000,"&lt;"&amp;EOMONTH('🏠 Dashboard'!$C$6,0)+1)+ROW()/10000000</f>
        <v/>
      </c>
    </row>
    <row r="24" ht="18" customHeight="1">
      <c r="B24" s="36" t="inlineStr">
        <is>
          <t>🔁  Subscriptions</t>
        </is>
      </c>
      <c r="C24" s="37">
        <f>SUMIFS('💳 Transactions'!$J$12:$J$5000,'💳 Transactions'!$E$12:$E$5000,"Subscriptions",'💳 Transactions'!$B$12:$B$5000,"&gt;="&amp;'🏠 Dashboard'!$C$6,'💳 Transactions'!$B$12:$B$5000,"&lt;"&amp;EOMONTH('🏠 Dashboard'!$C$6,0)+1)</f>
        <v/>
      </c>
      <c r="D24" s="38">
        <f>IFERROR($C24/SUMIFS('💳 Transactions'!$J$12:$J$5000,'💳 Transactions'!$B$12:$B$5000,"&gt;="&amp;'🏠 Dashboard'!$C$6,'💳 Transactions'!$B$12:$B$5000,"&lt;"&amp;EOMONTH('🏠 Dashboard'!$C$6,0)+1),0)</f>
        <v/>
      </c>
      <c r="E24" s="39">
        <f>REPT("█",ROUND(MAX(0,MIN(1,$C24/MAX($C$15:$C$30)))*10,0))&amp;REPT("░",10-ROUND(MAX(0,MIN(1,$C24/MAX($C$15:$C$30)))*10,0))</f>
        <v/>
      </c>
      <c r="N24" s="34" t="inlineStr">
        <is>
          <t>Subscriptions</t>
        </is>
      </c>
      <c r="O24" s="35">
        <f>SUMIFS('💳 Transactions'!$J$12:$J$5000,'💳 Transactions'!$E$12:$E$5000,"Subscriptions",'💳 Transactions'!$B$12:$B$5000,"&gt;="&amp;'🏠 Dashboard'!$C$6,'💳 Transactions'!$B$12:$B$5000,"&lt;"&amp;EOMONTH('🏠 Dashboard'!$C$6,0)+1)+ROW()/10000000</f>
        <v/>
      </c>
    </row>
    <row r="25" ht="18" customHeight="1">
      <c r="B25" s="30" t="inlineStr">
        <is>
          <t>🐾  Pets</t>
        </is>
      </c>
      <c r="C25" s="31">
        <f>SUMIFS('💳 Transactions'!$J$12:$J$5000,'💳 Transactions'!$E$12:$E$5000,"Pets",'💳 Transactions'!$B$12:$B$5000,"&gt;="&amp;'🏠 Dashboard'!$C$6,'💳 Transactions'!$B$12:$B$5000,"&lt;"&amp;EOMONTH('🏠 Dashboard'!$C$6,0)+1)</f>
        <v/>
      </c>
      <c r="D25" s="32">
        <f>IFERROR($C25/SUMIFS('💳 Transactions'!$J$12:$J$5000,'💳 Transactions'!$B$12:$B$5000,"&gt;="&amp;'🏠 Dashboard'!$C$6,'💳 Transactions'!$B$12:$B$5000,"&lt;"&amp;EOMONTH('🏠 Dashboard'!$C$6,0)+1),0)</f>
        <v/>
      </c>
      <c r="E25" s="33">
        <f>REPT("█",ROUND(MAX(0,MIN(1,$C25/MAX($C$15:$C$30)))*10,0))&amp;REPT("░",10-ROUND(MAX(0,MIN(1,$C25/MAX($C$15:$C$30)))*10,0))</f>
        <v/>
      </c>
      <c r="N25" s="34" t="inlineStr">
        <is>
          <t>Pets</t>
        </is>
      </c>
      <c r="O25" s="35">
        <f>SUMIFS('💳 Transactions'!$J$12:$J$5000,'💳 Transactions'!$E$12:$E$5000,"Pets",'💳 Transactions'!$B$12:$B$5000,"&gt;="&amp;'🏠 Dashboard'!$C$6,'💳 Transactions'!$B$12:$B$5000,"&lt;"&amp;EOMONTH('🏠 Dashboard'!$C$6,0)+1)+ROW()/10000000</f>
        <v/>
      </c>
    </row>
    <row r="26" ht="18" customHeight="1">
      <c r="B26" s="36" t="inlineStr">
        <is>
          <t>🧸  Children</t>
        </is>
      </c>
      <c r="C26" s="37">
        <f>SUMIFS('💳 Transactions'!$J$12:$J$5000,'💳 Transactions'!$E$12:$E$5000,"Children",'💳 Transactions'!$B$12:$B$5000,"&gt;="&amp;'🏠 Dashboard'!$C$6,'💳 Transactions'!$B$12:$B$5000,"&lt;"&amp;EOMONTH('🏠 Dashboard'!$C$6,0)+1)</f>
        <v/>
      </c>
      <c r="D26" s="38">
        <f>IFERROR($C26/SUMIFS('💳 Transactions'!$J$12:$J$5000,'💳 Transactions'!$B$12:$B$5000,"&gt;="&amp;'🏠 Dashboard'!$C$6,'💳 Transactions'!$B$12:$B$5000,"&lt;"&amp;EOMONTH('🏠 Dashboard'!$C$6,0)+1),0)</f>
        <v/>
      </c>
      <c r="E26" s="39">
        <f>REPT("█",ROUND(MAX(0,MIN(1,$C26/MAX($C$15:$C$30)))*10,0))&amp;REPT("░",10-ROUND(MAX(0,MIN(1,$C26/MAX($C$15:$C$30)))*10,0))</f>
        <v/>
      </c>
      <c r="N26" s="34" t="inlineStr">
        <is>
          <t>Children</t>
        </is>
      </c>
      <c r="O26" s="35">
        <f>SUMIFS('💳 Transactions'!$J$12:$J$5000,'💳 Transactions'!$E$12:$E$5000,"Children",'💳 Transactions'!$B$12:$B$5000,"&gt;="&amp;'🏠 Dashboard'!$C$6,'💳 Transactions'!$B$12:$B$5000,"&lt;"&amp;EOMONTH('🏠 Dashboard'!$C$6,0)+1)+ROW()/10000000</f>
        <v/>
      </c>
    </row>
    <row r="27" ht="18" customHeight="1">
      <c r="B27" s="30" t="inlineStr">
        <is>
          <t>🏛️  Taxes</t>
        </is>
      </c>
      <c r="C27" s="31">
        <f>SUMIFS('💳 Transactions'!$J$12:$J$5000,'💳 Transactions'!$E$12:$E$5000,"Taxes",'💳 Transactions'!$B$12:$B$5000,"&gt;="&amp;'🏠 Dashboard'!$C$6,'💳 Transactions'!$B$12:$B$5000,"&lt;"&amp;EOMONTH('🏠 Dashboard'!$C$6,0)+1)</f>
        <v/>
      </c>
      <c r="D27" s="32">
        <f>IFERROR($C27/SUMIFS('💳 Transactions'!$J$12:$J$5000,'💳 Transactions'!$B$12:$B$5000,"&gt;="&amp;'🏠 Dashboard'!$C$6,'💳 Transactions'!$B$12:$B$5000,"&lt;"&amp;EOMONTH('🏠 Dashboard'!$C$6,0)+1),0)</f>
        <v/>
      </c>
      <c r="E27" s="33">
        <f>REPT("█",ROUND(MAX(0,MIN(1,$C27/MAX($C$15:$C$30)))*10,0))&amp;REPT("░",10-ROUND(MAX(0,MIN(1,$C27/MAX($C$15:$C$30)))*10,0))</f>
        <v/>
      </c>
      <c r="N27" s="34" t="inlineStr">
        <is>
          <t>Taxes</t>
        </is>
      </c>
      <c r="O27" s="35">
        <f>SUMIFS('💳 Transactions'!$J$12:$J$5000,'💳 Transactions'!$E$12:$E$5000,"Taxes",'💳 Transactions'!$B$12:$B$5000,"&gt;="&amp;'🏠 Dashboard'!$C$6,'💳 Transactions'!$B$12:$B$5000,"&lt;"&amp;EOMONTH('🏠 Dashboard'!$C$6,0)+1)+ROW()/10000000</f>
        <v/>
      </c>
    </row>
    <row r="28" ht="18" customHeight="1">
      <c r="B28" s="36" t="inlineStr">
        <is>
          <t>🌱  Savings</t>
        </is>
      </c>
      <c r="C28" s="37">
        <f>SUMIFS('💳 Transactions'!$J$12:$J$5000,'💳 Transactions'!$E$12:$E$5000,"Savings",'💳 Transactions'!$B$12:$B$5000,"&gt;="&amp;'🏠 Dashboard'!$C$6,'💳 Transactions'!$B$12:$B$5000,"&lt;"&amp;EOMONTH('🏠 Dashboard'!$C$6,0)+1)</f>
        <v/>
      </c>
      <c r="D28" s="38">
        <f>IFERROR($C28/SUMIFS('💳 Transactions'!$J$12:$J$5000,'💳 Transactions'!$B$12:$B$5000,"&gt;="&amp;'🏠 Dashboard'!$C$6,'💳 Transactions'!$B$12:$B$5000,"&lt;"&amp;EOMONTH('🏠 Dashboard'!$C$6,0)+1),0)</f>
        <v/>
      </c>
      <c r="E28" s="39">
        <f>REPT("█",ROUND(MAX(0,MIN(1,$C28/MAX($C$15:$C$30)))*10,0))&amp;REPT("░",10-ROUND(MAX(0,MIN(1,$C28/MAX($C$15:$C$30)))*10,0))</f>
        <v/>
      </c>
      <c r="N28" s="34" t="inlineStr">
        <is>
          <t>Savings</t>
        </is>
      </c>
      <c r="O28" s="35">
        <f>SUMIFS('💳 Transactions'!$J$12:$J$5000,'💳 Transactions'!$E$12:$E$5000,"Savings",'💳 Transactions'!$B$12:$B$5000,"&gt;="&amp;'🏠 Dashboard'!$C$6,'💳 Transactions'!$B$12:$B$5000,"&lt;"&amp;EOMONTH('🏠 Dashboard'!$C$6,0)+1)+ROW()/10000000</f>
        <v/>
      </c>
    </row>
    <row r="29" ht="18" customHeight="1">
      <c r="B29" s="30" t="inlineStr">
        <is>
          <t>📈  Investments</t>
        </is>
      </c>
      <c r="C29" s="31">
        <f>SUMIFS('💳 Transactions'!$J$12:$J$5000,'💳 Transactions'!$E$12:$E$5000,"Investments",'💳 Transactions'!$B$12:$B$5000,"&gt;="&amp;'🏠 Dashboard'!$C$6,'💳 Transactions'!$B$12:$B$5000,"&lt;"&amp;EOMONTH('🏠 Dashboard'!$C$6,0)+1)</f>
        <v/>
      </c>
      <c r="D29" s="32">
        <f>IFERROR($C29/SUMIFS('💳 Transactions'!$J$12:$J$5000,'💳 Transactions'!$B$12:$B$5000,"&gt;="&amp;'🏠 Dashboard'!$C$6,'💳 Transactions'!$B$12:$B$5000,"&lt;"&amp;EOMONTH('🏠 Dashboard'!$C$6,0)+1),0)</f>
        <v/>
      </c>
      <c r="E29" s="33">
        <f>REPT("█",ROUND(MAX(0,MIN(1,$C29/MAX($C$15:$C$30)))*10,0))&amp;REPT("░",10-ROUND(MAX(0,MIN(1,$C29/MAX($C$15:$C$30)))*10,0))</f>
        <v/>
      </c>
      <c r="N29" s="34" t="inlineStr">
        <is>
          <t>Investments</t>
        </is>
      </c>
      <c r="O29" s="35">
        <f>SUMIFS('💳 Transactions'!$J$12:$J$5000,'💳 Transactions'!$E$12:$E$5000,"Investments",'💳 Transactions'!$B$12:$B$5000,"&gt;="&amp;'🏠 Dashboard'!$C$6,'💳 Transactions'!$B$12:$B$5000,"&lt;"&amp;EOMONTH('🏠 Dashboard'!$C$6,0)+1)+ROW()/10000000</f>
        <v/>
      </c>
    </row>
    <row r="30" ht="18" customHeight="1">
      <c r="B30" s="36" t="inlineStr">
        <is>
          <t>📦  Other</t>
        </is>
      </c>
      <c r="C30" s="37">
        <f>SUMIFS('💳 Transactions'!$J$12:$J$5000,'💳 Transactions'!$E$12:$E$5000,"Other",'💳 Transactions'!$B$12:$B$5000,"&gt;="&amp;'🏠 Dashboard'!$C$6,'💳 Transactions'!$B$12:$B$5000,"&lt;"&amp;EOMONTH('🏠 Dashboard'!$C$6,0)+1)</f>
        <v/>
      </c>
      <c r="D30" s="38">
        <f>IFERROR($C30/SUMIFS('💳 Transactions'!$J$12:$J$5000,'💳 Transactions'!$B$12:$B$5000,"&gt;="&amp;'🏠 Dashboard'!$C$6,'💳 Transactions'!$B$12:$B$5000,"&lt;"&amp;EOMONTH('🏠 Dashboard'!$C$6,0)+1),0)</f>
        <v/>
      </c>
      <c r="E30" s="39">
        <f>REPT("█",ROUND(MAX(0,MIN(1,$C30/MAX($C$15:$C$30)))*10,0))&amp;REPT("░",10-ROUND(MAX(0,MIN(1,$C30/MAX($C$15:$C$30)))*10,0))</f>
        <v/>
      </c>
      <c r="N30" s="34" t="inlineStr">
        <is>
          <t>Other</t>
        </is>
      </c>
      <c r="O30" s="35">
        <f>SUMIFS('💳 Transactions'!$J$12:$J$5000,'💳 Transactions'!$E$12:$E$5000,"Other",'💳 Transactions'!$B$12:$B$5000,"&gt;="&amp;'🏠 Dashboard'!$C$6,'💳 Transactions'!$B$12:$B$5000,"&lt;"&amp;EOMONTH('🏠 Dashboard'!$C$6,0)+1)+ROW()/10000000</f>
        <v/>
      </c>
    </row>
    <row r="31">
      <c r="B31" s="40" t="inlineStr">
        <is>
          <t>TOTAL</t>
        </is>
      </c>
      <c r="C31" s="41">
        <f>SUMIFS('💳 Transactions'!$J$12:$J$5000,'💳 Transactions'!$B$12:$B$5000,"&gt;="&amp;'🏠 Dashboard'!$C$6,'💳 Transactions'!$B$12:$B$5000,"&lt;"&amp;EOMONTH('🏠 Dashboard'!$C$6,0)+1)</f>
        <v/>
      </c>
    </row>
    <row r="33" ht="20" customHeight="1">
      <c r="B33" s="26" t="inlineStr">
        <is>
          <t>SIX-MONTH TREND</t>
        </is>
      </c>
    </row>
    <row r="34" ht="18" customHeight="1">
      <c r="O34" s="34">
        <f>TEXT(EDATE('🏠 Dashboard'!$C$6,-5),"mmm")</f>
        <v/>
      </c>
      <c r="P34" s="34">
        <f>TEXT(EDATE('🏠 Dashboard'!$C$6,-4),"mmm")</f>
        <v/>
      </c>
      <c r="Q34" s="34">
        <f>TEXT(EDATE('🏠 Dashboard'!$C$6,-3),"mmm")</f>
        <v/>
      </c>
      <c r="R34" s="34">
        <f>TEXT(EDATE('🏠 Dashboard'!$C$6,-2),"mmm")</f>
        <v/>
      </c>
      <c r="S34" s="34">
        <f>TEXT(EDATE('🏠 Dashboard'!$C$6,-1),"mmm")</f>
        <v/>
      </c>
      <c r="T34" s="34">
        <f>TEXT(EDATE('🏠 Dashboard'!$C$6,0),"mmm")</f>
        <v/>
      </c>
    </row>
    <row r="35" ht="18" customHeight="1">
      <c r="N35" s="34" t="inlineStr">
        <is>
          <t>Income</t>
        </is>
      </c>
      <c r="O35" s="35">
        <f>SUMIFS('💳 Transactions'!$I$12:$I$5000,'💳 Transactions'!$B$12:$B$5000,"&gt;="&amp;EDATE('🏠 Dashboard'!$C$6,-5),'💳 Transactions'!$B$12:$B$5000,"&lt;"&amp;EDATE('🏠 Dashboard'!$C$6,-4))</f>
        <v/>
      </c>
      <c r="P35" s="35">
        <f>SUMIFS('💳 Transactions'!$I$12:$I$5000,'💳 Transactions'!$B$12:$B$5000,"&gt;="&amp;EDATE('🏠 Dashboard'!$C$6,-4),'💳 Transactions'!$B$12:$B$5000,"&lt;"&amp;EDATE('🏠 Dashboard'!$C$6,-3))</f>
        <v/>
      </c>
      <c r="Q35" s="35">
        <f>SUMIFS('💳 Transactions'!$I$12:$I$5000,'💳 Transactions'!$B$12:$B$5000,"&gt;="&amp;EDATE('🏠 Dashboard'!$C$6,-3),'💳 Transactions'!$B$12:$B$5000,"&lt;"&amp;EDATE('🏠 Dashboard'!$C$6,-2))</f>
        <v/>
      </c>
      <c r="R35" s="35">
        <f>SUMIFS('💳 Transactions'!$I$12:$I$5000,'💳 Transactions'!$B$12:$B$5000,"&gt;="&amp;EDATE('🏠 Dashboard'!$C$6,-2),'💳 Transactions'!$B$12:$B$5000,"&lt;"&amp;EDATE('🏠 Dashboard'!$C$6,-1))</f>
        <v/>
      </c>
      <c r="S35" s="35">
        <f>SUMIFS('💳 Transactions'!$I$12:$I$5000,'💳 Transactions'!$B$12:$B$5000,"&gt;="&amp;EDATE('🏠 Dashboard'!$C$6,-1),'💳 Transactions'!$B$12:$B$5000,"&lt;"&amp;EDATE('🏠 Dashboard'!$C$6,0))</f>
        <v/>
      </c>
      <c r="T35" s="35">
        <f>SUMIFS('💳 Transactions'!$I$12:$I$5000,'💳 Transactions'!$B$12:$B$5000,"&gt;="&amp;EDATE('🏠 Dashboard'!$C$6,0),'💳 Transactions'!$B$12:$B$5000,"&lt;"&amp;EDATE('🏠 Dashboard'!$C$6,1))</f>
        <v/>
      </c>
    </row>
    <row r="36" ht="18" customHeight="1">
      <c r="N36" s="34" t="inlineStr">
        <is>
          <t>Expenses</t>
        </is>
      </c>
      <c r="O36" s="35">
        <f>SUMIFS('💳 Transactions'!$J$12:$J$5000,'💳 Transactions'!$B$12:$B$5000,"&gt;="&amp;EDATE('🏠 Dashboard'!$C$6,-5),'💳 Transactions'!$B$12:$B$5000,"&lt;"&amp;EDATE('🏠 Dashboard'!$C$6,-4))</f>
        <v/>
      </c>
      <c r="P36" s="35">
        <f>SUMIFS('💳 Transactions'!$J$12:$J$5000,'💳 Transactions'!$B$12:$B$5000,"&gt;="&amp;EDATE('🏠 Dashboard'!$C$6,-4),'💳 Transactions'!$B$12:$B$5000,"&lt;"&amp;EDATE('🏠 Dashboard'!$C$6,-3))</f>
        <v/>
      </c>
      <c r="Q36" s="35">
        <f>SUMIFS('💳 Transactions'!$J$12:$J$5000,'💳 Transactions'!$B$12:$B$5000,"&gt;="&amp;EDATE('🏠 Dashboard'!$C$6,-3),'💳 Transactions'!$B$12:$B$5000,"&lt;"&amp;EDATE('🏠 Dashboard'!$C$6,-2))</f>
        <v/>
      </c>
      <c r="R36" s="35">
        <f>SUMIFS('💳 Transactions'!$J$12:$J$5000,'💳 Transactions'!$B$12:$B$5000,"&gt;="&amp;EDATE('🏠 Dashboard'!$C$6,-2),'💳 Transactions'!$B$12:$B$5000,"&lt;"&amp;EDATE('🏠 Dashboard'!$C$6,-1))</f>
        <v/>
      </c>
      <c r="S36" s="35">
        <f>SUMIFS('💳 Transactions'!$J$12:$J$5000,'💳 Transactions'!$B$12:$B$5000,"&gt;="&amp;EDATE('🏠 Dashboard'!$C$6,-1),'💳 Transactions'!$B$12:$B$5000,"&lt;"&amp;EDATE('🏠 Dashboard'!$C$6,0))</f>
        <v/>
      </c>
      <c r="T36" s="35">
        <f>SUMIFS('💳 Transactions'!$J$12:$J$5000,'💳 Transactions'!$B$12:$B$5000,"&gt;="&amp;EDATE('🏠 Dashboard'!$C$6,0),'💳 Transactions'!$B$12:$B$5000,"&lt;"&amp;EDATE('🏠 Dashboard'!$C$6,1))</f>
        <v/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</sheetData>
  <mergeCells count="8">
    <mergeCell ref="F9:G10"/>
    <mergeCell ref="H11:I11"/>
    <mergeCell ref="F11:G11"/>
    <mergeCell ref="B11:C11"/>
    <mergeCell ref="D11:E11"/>
    <mergeCell ref="B9:C10"/>
    <mergeCell ref="D9:E10"/>
    <mergeCell ref="H9:I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D9B76"/>
    <outlinePr summaryBelow="1" summaryRight="1"/>
    <pageSetUpPr/>
  </sheetPr>
  <dimension ref="B2:K9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26" customWidth="1" min="3" max="3"/>
    <col width="5" customWidth="1" min="4" max="4"/>
    <col width="14" customWidth="1" min="5" max="5"/>
    <col width="14" customWidth="1" min="6" max="6"/>
    <col width="14" customWidth="1" min="7" max="7"/>
    <col width="12" customWidth="1" min="8" max="8"/>
    <col width="11" customWidth="1" min="9" max="9"/>
    <col width="11" customWidth="1" min="10" max="10"/>
    <col width="20" customWidth="1" min="11" max="11"/>
  </cols>
  <sheetData>
    <row r="2" ht="30" customHeight="1">
      <c r="B2" s="1" t="inlineStr">
        <is>
          <t>💳 Transactions</t>
        </is>
      </c>
    </row>
    <row r="3">
      <c r="B3" s="2" t="inlineStr">
        <is>
          <t>The only page you type in — log it here, watch everything else update itself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8" customHeight="1"/>
    <row r="6" ht="16" customHeight="1">
      <c r="B6" s="7" t="inlineStr">
        <is>
          <t>💰  TOTAL INCOME</t>
        </is>
      </c>
      <c r="C6" s="8" t="n"/>
      <c r="D6" s="9" t="inlineStr">
        <is>
          <t>💸  TOTAL EXPENSES</t>
        </is>
      </c>
      <c r="E6" s="8" t="n"/>
      <c r="F6" s="10" t="inlineStr">
        <is>
          <t>💼  BALANCE</t>
        </is>
      </c>
      <c r="G6" s="8" t="n"/>
    </row>
    <row r="7" ht="15" customHeight="1">
      <c r="B7" s="12">
        <f>SUM(I12:I5000)</f>
        <v/>
      </c>
      <c r="C7" s="13" t="n"/>
      <c r="D7" s="14">
        <f>SUM(J12:J5000)</f>
        <v/>
      </c>
      <c r="E7" s="13" t="n"/>
      <c r="F7" s="15">
        <f>SUM(I12:I5000)-SUM(J12:J5000)</f>
        <v/>
      </c>
      <c r="G7" s="13" t="n"/>
    </row>
    <row r="8" ht="15" customHeight="1">
      <c r="B8" s="17" t="n"/>
      <c r="C8" s="13" t="n"/>
      <c r="D8" s="18" t="n"/>
      <c r="E8" s="13" t="n"/>
      <c r="F8" s="19" t="n"/>
      <c r="G8" s="13" t="n"/>
    </row>
    <row r="9" ht="13" customHeight="1">
      <c r="B9" s="21">
        <f>"All time"</f>
        <v/>
      </c>
      <c r="C9" s="22" t="n"/>
      <c r="D9" s="23">
        <f>"All time"</f>
        <v/>
      </c>
      <c r="E9" s="22" t="n"/>
      <c r="F9" s="24">
        <f>"Income − expenses"</f>
        <v/>
      </c>
      <c r="G9" s="22" t="n"/>
    </row>
    <row r="11" ht="22" customHeight="1">
      <c r="B11" s="28" t="inlineStr">
        <is>
          <t>DATE</t>
        </is>
      </c>
      <c r="C11" s="28" t="inlineStr">
        <is>
          <t>DESCRIPTION</t>
        </is>
      </c>
      <c r="D11" s="28" t="inlineStr">
        <is>
          <t> </t>
        </is>
      </c>
      <c r="E11" s="28" t="inlineStr">
        <is>
          <t>CATEGORY</t>
        </is>
      </c>
      <c r="F11" s="28" t="inlineStr">
        <is>
          <t>SUBCATEGORY</t>
        </is>
      </c>
      <c r="G11" s="28" t="inlineStr">
        <is>
          <t>PAYMENT</t>
        </is>
      </c>
      <c r="H11" s="28" t="inlineStr">
        <is>
          <t>ACCOUNT</t>
        </is>
      </c>
      <c r="I11" s="29" t="inlineStr">
        <is>
          <t>INCOME</t>
        </is>
      </c>
      <c r="J11" s="29" t="inlineStr">
        <is>
          <t>EXPENSE</t>
        </is>
      </c>
      <c r="K11" s="28" t="inlineStr">
        <is>
          <t>NOTES</t>
        </is>
      </c>
    </row>
    <row r="12" ht="20" customHeight="1">
      <c r="B12" s="42" t="n">
        <v>46143</v>
      </c>
      <c r="C12" s="36" t="inlineStr">
        <is>
          <t>Monthly salary</t>
        </is>
      </c>
      <c r="D12" s="43">
        <f>IF($E12="","",IFERROR(VLOOKUP($E12,CatIcons,2,FALSE),""))</f>
        <v/>
      </c>
      <c r="E12" s="36" t="inlineStr">
        <is>
          <t>Income</t>
        </is>
      </c>
      <c r="F12" s="44" t="inlineStr">
        <is>
          <t>Salary</t>
        </is>
      </c>
      <c r="G12" s="44" t="inlineStr">
        <is>
          <t>Bank Transfer</t>
        </is>
      </c>
      <c r="H12" s="44" t="inlineStr">
        <is>
          <t>Checking</t>
        </is>
      </c>
      <c r="I12" s="45" t="n">
        <v>2600</v>
      </c>
      <c r="J12" s="37" t="n"/>
      <c r="K12" s="44" t="inlineStr"/>
    </row>
    <row r="13" ht="20" customHeight="1">
      <c r="B13" s="46" t="n">
        <v>46143</v>
      </c>
      <c r="C13" s="30" t="inlineStr">
        <is>
          <t>Rent</t>
        </is>
      </c>
      <c r="D13" s="47">
        <f>IF($E13="","",IFERROR(VLOOKUP($E13,CatIcons,2,FALSE),""))</f>
        <v/>
      </c>
      <c r="E13" s="30" t="inlineStr">
        <is>
          <t>Housing</t>
        </is>
      </c>
      <c r="F13" s="48" t="inlineStr">
        <is>
          <t>Rent</t>
        </is>
      </c>
      <c r="G13" s="48" t="inlineStr">
        <is>
          <t>Bank Transfer</t>
        </is>
      </c>
      <c r="H13" s="48" t="inlineStr">
        <is>
          <t>Checking</t>
        </is>
      </c>
      <c r="I13" s="49" t="n"/>
      <c r="J13" s="31" t="n">
        <v>850</v>
      </c>
      <c r="K13" s="48" t="inlineStr"/>
    </row>
    <row r="14" ht="20" customHeight="1">
      <c r="B14" s="42" t="n">
        <v>46145</v>
      </c>
      <c r="C14" s="36" t="inlineStr">
        <is>
          <t>Groceries — Mercadona</t>
        </is>
      </c>
      <c r="D14" s="43">
        <f>IF($E14="","",IFERROR(VLOOKUP($E14,CatIcons,2,FALSE),""))</f>
        <v/>
      </c>
      <c r="E14" s="36" t="inlineStr">
        <is>
          <t>Food</t>
        </is>
      </c>
      <c r="F14" s="44" t="inlineStr">
        <is>
          <t>Groceries</t>
        </is>
      </c>
      <c r="G14" s="44" t="inlineStr">
        <is>
          <t>Card</t>
        </is>
      </c>
      <c r="H14" s="44" t="inlineStr">
        <is>
          <t>Checking</t>
        </is>
      </c>
      <c r="I14" s="50" t="n"/>
      <c r="J14" s="37" t="n">
        <v>86.40000000000001</v>
      </c>
      <c r="K14" s="44" t="inlineStr"/>
    </row>
    <row r="15" ht="20" customHeight="1">
      <c r="B15" s="46" t="n">
        <v>46147</v>
      </c>
      <c r="C15" s="30" t="inlineStr">
        <is>
          <t>Gym membership</t>
        </is>
      </c>
      <c r="D15" s="47">
        <f>IF($E15="","",IFERROR(VLOOKUP($E15,CatIcons,2,FALSE),""))</f>
        <v/>
      </c>
      <c r="E15" s="30" t="inlineStr">
        <is>
          <t>Health</t>
        </is>
      </c>
      <c r="F15" s="48" t="inlineStr">
        <is>
          <t>Fitness</t>
        </is>
      </c>
      <c r="G15" s="48" t="inlineStr">
        <is>
          <t>Card</t>
        </is>
      </c>
      <c r="H15" s="48" t="inlineStr">
        <is>
          <t>Checking</t>
        </is>
      </c>
      <c r="I15" s="49" t="n"/>
      <c r="J15" s="31" t="n">
        <v>29.9</v>
      </c>
      <c r="K15" s="48" t="inlineStr"/>
    </row>
    <row r="16" ht="20" customHeight="1">
      <c r="B16" s="42" t="n">
        <v>46149</v>
      </c>
      <c r="C16" s="36" t="inlineStr">
        <is>
          <t>Freelance project</t>
        </is>
      </c>
      <c r="D16" s="43">
        <f>IF($E16="","",IFERROR(VLOOKUP($E16,CatIcons,2,FALSE),""))</f>
        <v/>
      </c>
      <c r="E16" s="36" t="inlineStr">
        <is>
          <t>Income</t>
        </is>
      </c>
      <c r="F16" s="44" t="inlineStr">
        <is>
          <t>Freelance</t>
        </is>
      </c>
      <c r="G16" s="44" t="inlineStr">
        <is>
          <t>PayPal</t>
        </is>
      </c>
      <c r="H16" s="44" t="inlineStr">
        <is>
          <t>Checking</t>
        </is>
      </c>
      <c r="I16" s="45" t="n">
        <v>420</v>
      </c>
      <c r="J16" s="37" t="n"/>
      <c r="K16" s="44" t="inlineStr"/>
    </row>
    <row r="17" ht="20" customHeight="1">
      <c r="B17" s="46" t="n">
        <v>46150</v>
      </c>
      <c r="C17" s="30" t="inlineStr">
        <is>
          <t>Gas</t>
        </is>
      </c>
      <c r="D17" s="47">
        <f>IF($E17="","",IFERROR(VLOOKUP($E17,CatIcons,2,FALSE),""))</f>
        <v/>
      </c>
      <c r="E17" s="30" t="inlineStr">
        <is>
          <t>Transportation</t>
        </is>
      </c>
      <c r="F17" s="48" t="inlineStr">
        <is>
          <t>Fuel</t>
        </is>
      </c>
      <c r="G17" s="48" t="inlineStr">
        <is>
          <t>Card</t>
        </is>
      </c>
      <c r="H17" s="48" t="inlineStr">
        <is>
          <t>Credit Card</t>
        </is>
      </c>
      <c r="I17" s="49" t="n"/>
      <c r="J17" s="31" t="n">
        <v>52</v>
      </c>
      <c r="K17" s="48" t="inlineStr"/>
    </row>
    <row r="18" ht="20" customHeight="1">
      <c r="B18" s="42" t="n">
        <v>46152</v>
      </c>
      <c r="C18" s="36" t="inlineStr">
        <is>
          <t>Netflix</t>
        </is>
      </c>
      <c r="D18" s="43">
        <f>IF($E18="","",IFERROR(VLOOKUP($E18,CatIcons,2,FALSE),""))</f>
        <v/>
      </c>
      <c r="E18" s="36" t="inlineStr">
        <is>
          <t>Subscriptions</t>
        </is>
      </c>
      <c r="F18" s="44" t="inlineStr">
        <is>
          <t>Streaming</t>
        </is>
      </c>
      <c r="G18" s="44" t="inlineStr">
        <is>
          <t>Card</t>
        </is>
      </c>
      <c r="H18" s="44" t="inlineStr">
        <is>
          <t>Credit Card</t>
        </is>
      </c>
      <c r="I18" s="50" t="n"/>
      <c r="J18" s="37" t="n">
        <v>12.99</v>
      </c>
      <c r="K18" s="44" t="inlineStr"/>
    </row>
    <row r="19" ht="20" customHeight="1">
      <c r="B19" s="46" t="n">
        <v>46154</v>
      </c>
      <c r="C19" s="30" t="inlineStr">
        <is>
          <t>Dinner out</t>
        </is>
      </c>
      <c r="D19" s="47">
        <f>IF($E19="","",IFERROR(VLOOKUP($E19,CatIcons,2,FALSE),""))</f>
        <v/>
      </c>
      <c r="E19" s="30" t="inlineStr">
        <is>
          <t>Food</t>
        </is>
      </c>
      <c r="F19" s="48" t="inlineStr">
        <is>
          <t>Restaurants</t>
        </is>
      </c>
      <c r="G19" s="48" t="inlineStr">
        <is>
          <t>Card</t>
        </is>
      </c>
      <c r="H19" s="48" t="inlineStr">
        <is>
          <t>Credit Card</t>
        </is>
      </c>
      <c r="I19" s="49" t="n"/>
      <c r="J19" s="31" t="n">
        <v>43.5</v>
      </c>
      <c r="K19" s="48" t="inlineStr"/>
    </row>
    <row r="20" ht="20" customHeight="1">
      <c r="B20" s="42" t="n">
        <v>46157</v>
      </c>
      <c r="C20" s="36" t="inlineStr">
        <is>
          <t>Transfer to savings</t>
        </is>
      </c>
      <c r="D20" s="43">
        <f>IF($E20="","",IFERROR(VLOOKUP($E20,CatIcons,2,FALSE),""))</f>
        <v/>
      </c>
      <c r="E20" s="36" t="inlineStr">
        <is>
          <t>Savings</t>
        </is>
      </c>
      <c r="F20" s="44" t="inlineStr">
        <is>
          <t>Emergency Fund</t>
        </is>
      </c>
      <c r="G20" s="44" t="inlineStr">
        <is>
          <t>Bank Transfer</t>
        </is>
      </c>
      <c r="H20" s="44" t="inlineStr">
        <is>
          <t>Savings</t>
        </is>
      </c>
      <c r="I20" s="50" t="n"/>
      <c r="J20" s="37" t="n">
        <v>300</v>
      </c>
      <c r="K20" s="44" t="inlineStr"/>
    </row>
    <row r="21" ht="20" customHeight="1">
      <c r="B21" s="46" t="n">
        <v>46160</v>
      </c>
      <c r="C21" s="30" t="inlineStr">
        <is>
          <t>New sneakers</t>
        </is>
      </c>
      <c r="D21" s="47">
        <f>IF($E21="","",IFERROR(VLOOKUP($E21,CatIcons,2,FALSE),""))</f>
        <v/>
      </c>
      <c r="E21" s="30" t="inlineStr">
        <is>
          <t>Shopping</t>
        </is>
      </c>
      <c r="F21" s="48" t="inlineStr">
        <is>
          <t>Clothing</t>
        </is>
      </c>
      <c r="G21" s="48" t="inlineStr">
        <is>
          <t>Card</t>
        </is>
      </c>
      <c r="H21" s="48" t="inlineStr">
        <is>
          <t>Credit Card</t>
        </is>
      </c>
      <c r="I21" s="49" t="n"/>
      <c r="J21" s="31" t="n">
        <v>74.98999999999999</v>
      </c>
      <c r="K21" s="48" t="inlineStr"/>
    </row>
    <row r="22" ht="20" customHeight="1">
      <c r="B22" s="42" t="n">
        <v>46162</v>
      </c>
      <c r="C22" s="36" t="inlineStr">
        <is>
          <t>Electricity bill</t>
        </is>
      </c>
      <c r="D22" s="43">
        <f>IF($E22="","",IFERROR(VLOOKUP($E22,CatIcons,2,FALSE),""))</f>
        <v/>
      </c>
      <c r="E22" s="36" t="inlineStr">
        <is>
          <t>Housing</t>
        </is>
      </c>
      <c r="F22" s="44" t="inlineStr">
        <is>
          <t>Utilities</t>
        </is>
      </c>
      <c r="G22" s="44" t="inlineStr">
        <is>
          <t>Bank Transfer</t>
        </is>
      </c>
      <c r="H22" s="44" t="inlineStr">
        <is>
          <t>Checking</t>
        </is>
      </c>
      <c r="I22" s="50" t="n"/>
      <c r="J22" s="37" t="n">
        <v>64.2</v>
      </c>
      <c r="K22" s="44" t="inlineStr"/>
    </row>
    <row r="23" ht="20" customHeight="1">
      <c r="B23" s="46" t="n">
        <v>46164</v>
      </c>
      <c r="C23" s="30" t="inlineStr">
        <is>
          <t>Pharmacy</t>
        </is>
      </c>
      <c r="D23" s="47">
        <f>IF($E23="","",IFERROR(VLOOKUP($E23,CatIcons,2,FALSE),""))</f>
        <v/>
      </c>
      <c r="E23" s="30" t="inlineStr">
        <is>
          <t>Health</t>
        </is>
      </c>
      <c r="F23" s="48" t="inlineStr">
        <is>
          <t>Medicine</t>
        </is>
      </c>
      <c r="G23" s="48" t="inlineStr">
        <is>
          <t>Cash</t>
        </is>
      </c>
      <c r="H23" s="48" t="inlineStr">
        <is>
          <t>Cash</t>
        </is>
      </c>
      <c r="I23" s="49" t="n"/>
      <c r="J23" s="31" t="n">
        <v>18.35</v>
      </c>
      <c r="K23" s="48" t="inlineStr"/>
    </row>
    <row r="24" ht="20" customHeight="1">
      <c r="B24" s="42" t="n">
        <v>46167</v>
      </c>
      <c r="C24" s="36" t="inlineStr">
        <is>
          <t>Index fund</t>
        </is>
      </c>
      <c r="D24" s="43">
        <f>IF($E24="","",IFERROR(VLOOKUP($E24,CatIcons,2,FALSE),""))</f>
        <v/>
      </c>
      <c r="E24" s="36" t="inlineStr">
        <is>
          <t>Investments</t>
        </is>
      </c>
      <c r="F24" s="44" t="inlineStr">
        <is>
          <t>Index Funds</t>
        </is>
      </c>
      <c r="G24" s="44" t="inlineStr">
        <is>
          <t>Bank Transfer</t>
        </is>
      </c>
      <c r="H24" s="44" t="inlineStr">
        <is>
          <t>Checking</t>
        </is>
      </c>
      <c r="I24" s="50" t="n"/>
      <c r="J24" s="37" t="n">
        <v>200</v>
      </c>
      <c r="K24" s="44" t="inlineStr"/>
    </row>
    <row r="25" ht="20" customHeight="1">
      <c r="B25" s="46" t="n">
        <v>46170</v>
      </c>
      <c r="C25" s="30" t="inlineStr">
        <is>
          <t>Groceries</t>
        </is>
      </c>
      <c r="D25" s="47">
        <f>IF($E25="","",IFERROR(VLOOKUP($E25,CatIcons,2,FALSE),""))</f>
        <v/>
      </c>
      <c r="E25" s="30" t="inlineStr">
        <is>
          <t>Food</t>
        </is>
      </c>
      <c r="F25" s="48" t="inlineStr">
        <is>
          <t>Groceries</t>
        </is>
      </c>
      <c r="G25" s="48" t="inlineStr">
        <is>
          <t>Card</t>
        </is>
      </c>
      <c r="H25" s="48" t="inlineStr">
        <is>
          <t>Checking</t>
        </is>
      </c>
      <c r="I25" s="49" t="n"/>
      <c r="J25" s="31" t="n">
        <v>92.09999999999999</v>
      </c>
      <c r="K25" s="48" t="inlineStr"/>
    </row>
    <row r="26" ht="20" customHeight="1">
      <c r="B26" s="42" t="n">
        <v>46174</v>
      </c>
      <c r="C26" s="36" t="inlineStr">
        <is>
          <t>Monthly salary</t>
        </is>
      </c>
      <c r="D26" s="43">
        <f>IF($E26="","",IFERROR(VLOOKUP($E26,CatIcons,2,FALSE),""))</f>
        <v/>
      </c>
      <c r="E26" s="36" t="inlineStr">
        <is>
          <t>Income</t>
        </is>
      </c>
      <c r="F26" s="44" t="inlineStr">
        <is>
          <t>Salary</t>
        </is>
      </c>
      <c r="G26" s="44" t="inlineStr">
        <is>
          <t>Bank Transfer</t>
        </is>
      </c>
      <c r="H26" s="44" t="inlineStr">
        <is>
          <t>Checking</t>
        </is>
      </c>
      <c r="I26" s="45" t="n">
        <v>2600</v>
      </c>
      <c r="J26" s="37" t="n"/>
      <c r="K26" s="44" t="inlineStr"/>
    </row>
    <row r="27" ht="20" customHeight="1">
      <c r="B27" s="46" t="n">
        <v>46174</v>
      </c>
      <c r="C27" s="30" t="inlineStr">
        <is>
          <t>Rent</t>
        </is>
      </c>
      <c r="D27" s="47">
        <f>IF($E27="","",IFERROR(VLOOKUP($E27,CatIcons,2,FALSE),""))</f>
        <v/>
      </c>
      <c r="E27" s="30" t="inlineStr">
        <is>
          <t>Housing</t>
        </is>
      </c>
      <c r="F27" s="48" t="inlineStr">
        <is>
          <t>Rent</t>
        </is>
      </c>
      <c r="G27" s="48" t="inlineStr">
        <is>
          <t>Bank Transfer</t>
        </is>
      </c>
      <c r="H27" s="48" t="inlineStr">
        <is>
          <t>Checking</t>
        </is>
      </c>
      <c r="I27" s="49" t="n"/>
      <c r="J27" s="31" t="n">
        <v>850</v>
      </c>
      <c r="K27" s="48" t="inlineStr"/>
    </row>
    <row r="28" ht="20" customHeight="1">
      <c r="B28" s="42" t="n">
        <v>46175</v>
      </c>
      <c r="C28" s="36" t="inlineStr">
        <is>
          <t>Groceries</t>
        </is>
      </c>
      <c r="D28" s="43">
        <f>IF($E28="","",IFERROR(VLOOKUP($E28,CatIcons,2,FALSE),""))</f>
        <v/>
      </c>
      <c r="E28" s="36" t="inlineStr">
        <is>
          <t>Food</t>
        </is>
      </c>
      <c r="F28" s="44" t="inlineStr">
        <is>
          <t>Groceries</t>
        </is>
      </c>
      <c r="G28" s="44" t="inlineStr">
        <is>
          <t>Card</t>
        </is>
      </c>
      <c r="H28" s="44" t="inlineStr">
        <is>
          <t>Checking</t>
        </is>
      </c>
      <c r="I28" s="50" t="n"/>
      <c r="J28" s="37" t="n">
        <v>81.75</v>
      </c>
      <c r="K28" s="44" t="inlineStr"/>
    </row>
    <row r="29" ht="20" customHeight="1">
      <c r="B29" s="46" t="n">
        <v>46177</v>
      </c>
      <c r="C29" s="30" t="inlineStr">
        <is>
          <t>Spotify</t>
        </is>
      </c>
      <c r="D29" s="47">
        <f>IF($E29="","",IFERROR(VLOOKUP($E29,CatIcons,2,FALSE),""))</f>
        <v/>
      </c>
      <c r="E29" s="30" t="inlineStr">
        <is>
          <t>Subscriptions</t>
        </is>
      </c>
      <c r="F29" s="48" t="inlineStr">
        <is>
          <t>Music</t>
        </is>
      </c>
      <c r="G29" s="48" t="inlineStr">
        <is>
          <t>Card</t>
        </is>
      </c>
      <c r="H29" s="48" t="inlineStr">
        <is>
          <t>Credit Card</t>
        </is>
      </c>
      <c r="I29" s="49" t="n"/>
      <c r="J29" s="31" t="n">
        <v>10.99</v>
      </c>
      <c r="K29" s="48" t="inlineStr"/>
    </row>
    <row r="30" ht="20" customHeight="1">
      <c r="B30" s="42" t="n">
        <v>46179</v>
      </c>
      <c r="C30" s="36" t="inlineStr">
        <is>
          <t>Freelance project</t>
        </is>
      </c>
      <c r="D30" s="43">
        <f>IF($E30="","",IFERROR(VLOOKUP($E30,CatIcons,2,FALSE),""))</f>
        <v/>
      </c>
      <c r="E30" s="36" t="inlineStr">
        <is>
          <t>Income</t>
        </is>
      </c>
      <c r="F30" s="44" t="inlineStr">
        <is>
          <t>Freelance</t>
        </is>
      </c>
      <c r="G30" s="44" t="inlineStr">
        <is>
          <t>PayPal</t>
        </is>
      </c>
      <c r="H30" s="44" t="inlineStr">
        <is>
          <t>Checking</t>
        </is>
      </c>
      <c r="I30" s="45" t="n">
        <v>380</v>
      </c>
      <c r="J30" s="37" t="n"/>
      <c r="K30" s="44" t="inlineStr"/>
    </row>
    <row r="31" ht="20" customHeight="1">
      <c r="B31" s="46" t="n">
        <v>46181</v>
      </c>
      <c r="C31" s="30" t="inlineStr">
        <is>
          <t>Bus pass</t>
        </is>
      </c>
      <c r="D31" s="47">
        <f>IF($E31="","",IFERROR(VLOOKUP($E31,CatIcons,2,FALSE),""))</f>
        <v/>
      </c>
      <c r="E31" s="30" t="inlineStr">
        <is>
          <t>Transportation</t>
        </is>
      </c>
      <c r="F31" s="48" t="inlineStr">
        <is>
          <t>Public Transit</t>
        </is>
      </c>
      <c r="G31" s="48" t="inlineStr">
        <is>
          <t>Card</t>
        </is>
      </c>
      <c r="H31" s="48" t="inlineStr">
        <is>
          <t>Checking</t>
        </is>
      </c>
      <c r="I31" s="49" t="n"/>
      <c r="J31" s="31" t="n">
        <v>40</v>
      </c>
      <c r="K31" s="48" t="inlineStr"/>
    </row>
    <row r="32" ht="20" customHeight="1">
      <c r="B32" s="42" t="n">
        <v>46183</v>
      </c>
      <c r="C32" s="36" t="inlineStr">
        <is>
          <t>Cinema</t>
        </is>
      </c>
      <c r="D32" s="43">
        <f>IF($E32="","",IFERROR(VLOOKUP($E32,CatIcons,2,FALSE),""))</f>
        <v/>
      </c>
      <c r="E32" s="36" t="inlineStr">
        <is>
          <t>Entertainment</t>
        </is>
      </c>
      <c r="F32" s="44" t="inlineStr">
        <is>
          <t>Movies</t>
        </is>
      </c>
      <c r="G32" s="44" t="inlineStr">
        <is>
          <t>Card</t>
        </is>
      </c>
      <c r="H32" s="44" t="inlineStr">
        <is>
          <t>Credit Card</t>
        </is>
      </c>
      <c r="I32" s="50" t="n"/>
      <c r="J32" s="37" t="n">
        <v>22</v>
      </c>
      <c r="K32" s="44" t="inlineStr"/>
    </row>
    <row r="33" ht="20" customHeight="1">
      <c r="B33" s="46" t="n">
        <v>46185</v>
      </c>
      <c r="C33" s="30" t="inlineStr">
        <is>
          <t>Groceries</t>
        </is>
      </c>
      <c r="D33" s="47">
        <f>IF($E33="","",IFERROR(VLOOKUP($E33,CatIcons,2,FALSE),""))</f>
        <v/>
      </c>
      <c r="E33" s="30" t="inlineStr">
        <is>
          <t>Food</t>
        </is>
      </c>
      <c r="F33" s="48" t="inlineStr">
        <is>
          <t>Groceries</t>
        </is>
      </c>
      <c r="G33" s="48" t="inlineStr">
        <is>
          <t>Card</t>
        </is>
      </c>
      <c r="H33" s="48" t="inlineStr">
        <is>
          <t>Checking</t>
        </is>
      </c>
      <c r="I33" s="49" t="n"/>
      <c r="J33" s="31" t="n">
        <v>88.59999999999999</v>
      </c>
      <c r="K33" s="48" t="inlineStr"/>
    </row>
    <row r="34" ht="20" customHeight="1">
      <c r="B34" s="42" t="n">
        <v>46188</v>
      </c>
      <c r="C34" s="36" t="inlineStr">
        <is>
          <t>Transfer to savings</t>
        </is>
      </c>
      <c r="D34" s="43">
        <f>IF($E34="","",IFERROR(VLOOKUP($E34,CatIcons,2,FALSE),""))</f>
        <v/>
      </c>
      <c r="E34" s="36" t="inlineStr">
        <is>
          <t>Savings</t>
        </is>
      </c>
      <c r="F34" s="44" t="inlineStr">
        <is>
          <t>Emergency Fund</t>
        </is>
      </c>
      <c r="G34" s="44" t="inlineStr">
        <is>
          <t>Bank Transfer</t>
        </is>
      </c>
      <c r="H34" s="44" t="inlineStr">
        <is>
          <t>Savings</t>
        </is>
      </c>
      <c r="I34" s="50" t="n"/>
      <c r="J34" s="37" t="n">
        <v>300</v>
      </c>
      <c r="K34" s="44" t="inlineStr"/>
    </row>
    <row r="35" ht="20" customHeight="1">
      <c r="B35" s="46" t="n">
        <v>46190</v>
      </c>
      <c r="C35" s="30" t="inlineStr">
        <is>
          <t>Car insurance</t>
        </is>
      </c>
      <c r="D35" s="47">
        <f>IF($E35="","",IFERROR(VLOOKUP($E35,CatIcons,2,FALSE),""))</f>
        <v/>
      </c>
      <c r="E35" s="30" t="inlineStr">
        <is>
          <t>Insurance</t>
        </is>
      </c>
      <c r="F35" s="48" t="inlineStr">
        <is>
          <t>Auto</t>
        </is>
      </c>
      <c r="G35" s="48" t="inlineStr">
        <is>
          <t>Bank Transfer</t>
        </is>
      </c>
      <c r="H35" s="48" t="inlineStr">
        <is>
          <t>Checking</t>
        </is>
      </c>
      <c r="I35" s="49" t="n"/>
      <c r="J35" s="31" t="n">
        <v>58</v>
      </c>
      <c r="K35" s="48" t="inlineStr"/>
    </row>
    <row r="36" ht="20" customHeight="1">
      <c r="B36" s="42" t="n">
        <v>46193</v>
      </c>
      <c r="C36" s="36" t="inlineStr">
        <is>
          <t>Birthday gift</t>
        </is>
      </c>
      <c r="D36" s="43">
        <f>IF($E36="","",IFERROR(VLOOKUP($E36,CatIcons,2,FALSE),""))</f>
        <v/>
      </c>
      <c r="E36" s="36" t="inlineStr">
        <is>
          <t>Shopping</t>
        </is>
      </c>
      <c r="F36" s="44" t="inlineStr">
        <is>
          <t>Gifts</t>
        </is>
      </c>
      <c r="G36" s="44" t="inlineStr">
        <is>
          <t>Card</t>
        </is>
      </c>
      <c r="H36" s="44" t="inlineStr">
        <is>
          <t>Credit Card</t>
        </is>
      </c>
      <c r="I36" s="50" t="n"/>
      <c r="J36" s="37" t="n">
        <v>35</v>
      </c>
      <c r="K36" s="44" t="inlineStr"/>
    </row>
    <row r="37" ht="20" customHeight="1">
      <c r="B37" s="46" t="n">
        <v>46195</v>
      </c>
      <c r="C37" s="30" t="inlineStr">
        <is>
          <t>Online course</t>
        </is>
      </c>
      <c r="D37" s="47">
        <f>IF($E37="","",IFERROR(VLOOKUP($E37,CatIcons,2,FALSE),""))</f>
        <v/>
      </c>
      <c r="E37" s="30" t="inlineStr">
        <is>
          <t>Education</t>
        </is>
      </c>
      <c r="F37" s="48" t="inlineStr">
        <is>
          <t>Courses</t>
        </is>
      </c>
      <c r="G37" s="48" t="inlineStr">
        <is>
          <t>Card</t>
        </is>
      </c>
      <c r="H37" s="48" t="inlineStr">
        <is>
          <t>Checking</t>
        </is>
      </c>
      <c r="I37" s="49" t="n"/>
      <c r="J37" s="31" t="n">
        <v>49</v>
      </c>
      <c r="K37" s="48" t="inlineStr"/>
    </row>
    <row r="38" ht="20" customHeight="1">
      <c r="B38" s="42" t="n">
        <v>46198</v>
      </c>
      <c r="C38" s="36" t="inlineStr">
        <is>
          <t>Index fund</t>
        </is>
      </c>
      <c r="D38" s="43">
        <f>IF($E38="","",IFERROR(VLOOKUP($E38,CatIcons,2,FALSE),""))</f>
        <v/>
      </c>
      <c r="E38" s="36" t="inlineStr">
        <is>
          <t>Investments</t>
        </is>
      </c>
      <c r="F38" s="44" t="inlineStr">
        <is>
          <t>Index Funds</t>
        </is>
      </c>
      <c r="G38" s="44" t="inlineStr">
        <is>
          <t>Bank Transfer</t>
        </is>
      </c>
      <c r="H38" s="44" t="inlineStr">
        <is>
          <t>Checking</t>
        </is>
      </c>
      <c r="I38" s="50" t="n"/>
      <c r="J38" s="37" t="n">
        <v>200</v>
      </c>
      <c r="K38" s="44" t="inlineStr"/>
    </row>
    <row r="39" ht="20" customHeight="1">
      <c r="B39" s="46" t="n">
        <v>46200</v>
      </c>
      <c r="C39" s="30" t="inlineStr">
        <is>
          <t>Weekend trip fuel</t>
        </is>
      </c>
      <c r="D39" s="47">
        <f>IF($E39="","",IFERROR(VLOOKUP($E39,CatIcons,2,FALSE),""))</f>
        <v/>
      </c>
      <c r="E39" s="30" t="inlineStr">
        <is>
          <t>Travel</t>
        </is>
      </c>
      <c r="F39" s="48" t="inlineStr">
        <is>
          <t>Road Trip</t>
        </is>
      </c>
      <c r="G39" s="48" t="inlineStr">
        <is>
          <t>Card</t>
        </is>
      </c>
      <c r="H39" s="48" t="inlineStr">
        <is>
          <t>Credit Card</t>
        </is>
      </c>
      <c r="I39" s="49" t="n"/>
      <c r="J39" s="31" t="n">
        <v>45.3</v>
      </c>
      <c r="K39" s="48" t="inlineStr"/>
    </row>
    <row r="40" ht="20" customHeight="1">
      <c r="B40" s="42" t="n">
        <v>46204</v>
      </c>
      <c r="C40" s="36" t="inlineStr">
        <is>
          <t>Monthly salary</t>
        </is>
      </c>
      <c r="D40" s="43">
        <f>IF($E40="","",IFERROR(VLOOKUP($E40,CatIcons,2,FALSE),""))</f>
        <v/>
      </c>
      <c r="E40" s="36" t="inlineStr">
        <is>
          <t>Income</t>
        </is>
      </c>
      <c r="F40" s="44" t="inlineStr">
        <is>
          <t>Salary</t>
        </is>
      </c>
      <c r="G40" s="44" t="inlineStr">
        <is>
          <t>Bank Transfer</t>
        </is>
      </c>
      <c r="H40" s="44" t="inlineStr">
        <is>
          <t>Checking</t>
        </is>
      </c>
      <c r="I40" s="45" t="n">
        <v>2600</v>
      </c>
      <c r="J40" s="37" t="n"/>
      <c r="K40" s="44" t="inlineStr"/>
    </row>
    <row r="41" ht="20" customHeight="1">
      <c r="B41" s="46" t="n">
        <v>46204</v>
      </c>
      <c r="C41" s="30" t="inlineStr">
        <is>
          <t>Rent</t>
        </is>
      </c>
      <c r="D41" s="47">
        <f>IF($E41="","",IFERROR(VLOOKUP($E41,CatIcons,2,FALSE),""))</f>
        <v/>
      </c>
      <c r="E41" s="30" t="inlineStr">
        <is>
          <t>Housing</t>
        </is>
      </c>
      <c r="F41" s="48" t="inlineStr">
        <is>
          <t>Rent</t>
        </is>
      </c>
      <c r="G41" s="48" t="inlineStr">
        <is>
          <t>Bank Transfer</t>
        </is>
      </c>
      <c r="H41" s="48" t="inlineStr">
        <is>
          <t>Checking</t>
        </is>
      </c>
      <c r="I41" s="49" t="n"/>
      <c r="J41" s="31" t="n">
        <v>850</v>
      </c>
      <c r="K41" s="48" t="inlineStr"/>
    </row>
    <row r="42" ht="20" customHeight="1">
      <c r="B42" s="42" t="n">
        <v>46205</v>
      </c>
      <c r="C42" s="36" t="inlineStr">
        <is>
          <t>Groceries</t>
        </is>
      </c>
      <c r="D42" s="43">
        <f>IF($E42="","",IFERROR(VLOOKUP($E42,CatIcons,2,FALSE),""))</f>
        <v/>
      </c>
      <c r="E42" s="36" t="inlineStr">
        <is>
          <t>Food</t>
        </is>
      </c>
      <c r="F42" s="44" t="inlineStr">
        <is>
          <t>Groceries</t>
        </is>
      </c>
      <c r="G42" s="44" t="inlineStr">
        <is>
          <t>Card</t>
        </is>
      </c>
      <c r="H42" s="44" t="inlineStr">
        <is>
          <t>Checking</t>
        </is>
      </c>
      <c r="I42" s="50" t="n"/>
      <c r="J42" s="37" t="n">
        <v>79.40000000000001</v>
      </c>
      <c r="K42" s="44" t="inlineStr"/>
    </row>
    <row r="43" ht="20" customHeight="1">
      <c r="B43" s="46" t="n">
        <v>46206</v>
      </c>
      <c r="C43" s="30" t="inlineStr">
        <is>
          <t>Refund — returned item</t>
        </is>
      </c>
      <c r="D43" s="47">
        <f>IF($E43="","",IFERROR(VLOOKUP($E43,CatIcons,2,FALSE),""))</f>
        <v/>
      </c>
      <c r="E43" s="30" t="inlineStr">
        <is>
          <t>Income</t>
        </is>
      </c>
      <c r="F43" s="48" t="inlineStr">
        <is>
          <t>Refunds</t>
        </is>
      </c>
      <c r="G43" s="48" t="inlineStr">
        <is>
          <t>Card</t>
        </is>
      </c>
      <c r="H43" s="48" t="inlineStr">
        <is>
          <t>Checking</t>
        </is>
      </c>
      <c r="I43" s="51" t="n">
        <v>24.99</v>
      </c>
      <c r="J43" s="31" t="n"/>
      <c r="K43" s="48" t="inlineStr"/>
    </row>
    <row r="44" ht="20" customHeight="1">
      <c r="B44" s="42" t="n">
        <v>46207</v>
      </c>
      <c r="C44" s="36" t="inlineStr">
        <is>
          <t>Gas</t>
        </is>
      </c>
      <c r="D44" s="43">
        <f>IF($E44="","",IFERROR(VLOOKUP($E44,CatIcons,2,FALSE),""))</f>
        <v/>
      </c>
      <c r="E44" s="36" t="inlineStr">
        <is>
          <t>Transportation</t>
        </is>
      </c>
      <c r="F44" s="44" t="inlineStr">
        <is>
          <t>Fuel</t>
        </is>
      </c>
      <c r="G44" s="44" t="inlineStr">
        <is>
          <t>Card</t>
        </is>
      </c>
      <c r="H44" s="44" t="inlineStr">
        <is>
          <t>Credit Card</t>
        </is>
      </c>
      <c r="I44" s="50" t="n"/>
      <c r="J44" s="37" t="n">
        <v>50</v>
      </c>
      <c r="K44" s="44" t="inlineStr"/>
    </row>
    <row r="45" ht="20" customHeight="1">
      <c r="B45" s="46" t="n">
        <v>46208</v>
      </c>
      <c r="C45" s="30" t="inlineStr">
        <is>
          <t>Brunch</t>
        </is>
      </c>
      <c r="D45" s="47">
        <f>IF($E45="","",IFERROR(VLOOKUP($E45,CatIcons,2,FALSE),""))</f>
        <v/>
      </c>
      <c r="E45" s="30" t="inlineStr">
        <is>
          <t>Food</t>
        </is>
      </c>
      <c r="F45" s="48" t="inlineStr">
        <is>
          <t>Restaurants</t>
        </is>
      </c>
      <c r="G45" s="48" t="inlineStr">
        <is>
          <t>Card</t>
        </is>
      </c>
      <c r="H45" s="48" t="inlineStr">
        <is>
          <t>Credit Card</t>
        </is>
      </c>
      <c r="I45" s="49" t="n"/>
      <c r="J45" s="31" t="n">
        <v>28.5</v>
      </c>
      <c r="K45" s="48" t="inlineStr"/>
    </row>
    <row r="46" ht="20" customHeight="1">
      <c r="B46" s="42" t="n">
        <v>46208</v>
      </c>
      <c r="C46" s="36" t="inlineStr">
        <is>
          <t>Transfer to savings</t>
        </is>
      </c>
      <c r="D46" s="43">
        <f>IF($E46="","",IFERROR(VLOOKUP($E46,CatIcons,2,FALSE),""))</f>
        <v/>
      </c>
      <c r="E46" s="36" t="inlineStr">
        <is>
          <t>Savings</t>
        </is>
      </c>
      <c r="F46" s="44" t="inlineStr">
        <is>
          <t>Emergency Fund</t>
        </is>
      </c>
      <c r="G46" s="44" t="inlineStr">
        <is>
          <t>Bank Transfer</t>
        </is>
      </c>
      <c r="H46" s="44" t="inlineStr">
        <is>
          <t>Savings</t>
        </is>
      </c>
      <c r="I46" s="50" t="n"/>
      <c r="J46" s="37" t="n">
        <v>300</v>
      </c>
      <c r="K46" s="44" t="inlineStr"/>
    </row>
    <row r="47" ht="20" customHeight="1">
      <c r="B47" s="46" t="n">
        <v>46209</v>
      </c>
      <c r="C47" s="30" t="inlineStr">
        <is>
          <t>Netflix</t>
        </is>
      </c>
      <c r="D47" s="47">
        <f>IF($E47="","",IFERROR(VLOOKUP($E47,CatIcons,2,FALSE),""))</f>
        <v/>
      </c>
      <c r="E47" s="30" t="inlineStr">
        <is>
          <t>Subscriptions</t>
        </is>
      </c>
      <c r="F47" s="48" t="inlineStr">
        <is>
          <t>Streaming</t>
        </is>
      </c>
      <c r="G47" s="48" t="inlineStr">
        <is>
          <t>Card</t>
        </is>
      </c>
      <c r="H47" s="48" t="inlineStr">
        <is>
          <t>Credit Card</t>
        </is>
      </c>
      <c r="I47" s="49" t="n"/>
      <c r="J47" s="31" t="n">
        <v>12.99</v>
      </c>
      <c r="K47" s="48" t="inlineStr"/>
    </row>
    <row r="48" ht="20" customHeight="1">
      <c r="B48" s="52" t="n"/>
      <c r="C48" s="53" t="n"/>
      <c r="D48" s="43">
        <f>IF($E48="","",IFERROR(VLOOKUP($E48,CatIcons,2,FALSE),""))</f>
        <v/>
      </c>
      <c r="E48" s="53" t="n"/>
      <c r="F48" s="53" t="n"/>
      <c r="G48" s="53" t="n"/>
      <c r="H48" s="53" t="n"/>
      <c r="I48" s="54" t="n"/>
      <c r="J48" s="54" t="n"/>
      <c r="K48" s="53" t="n"/>
    </row>
    <row r="49" ht="20" customHeight="1">
      <c r="B49" s="55" t="n"/>
      <c r="C49" s="56" t="n"/>
      <c r="D49" s="47">
        <f>IF($E49="","",IFERROR(VLOOKUP($E49,CatIcons,2,FALSE),""))</f>
        <v/>
      </c>
      <c r="E49" s="56" t="n"/>
      <c r="F49" s="56" t="n"/>
      <c r="G49" s="56" t="n"/>
      <c r="H49" s="56" t="n"/>
      <c r="I49" s="57" t="n"/>
      <c r="J49" s="57" t="n"/>
      <c r="K49" s="56" t="n"/>
    </row>
    <row r="50" ht="20" customHeight="1">
      <c r="B50" s="52" t="n"/>
      <c r="C50" s="53" t="n"/>
      <c r="D50" s="43">
        <f>IF($E50="","",IFERROR(VLOOKUP($E50,CatIcons,2,FALSE),""))</f>
        <v/>
      </c>
      <c r="E50" s="53" t="n"/>
      <c r="F50" s="53" t="n"/>
      <c r="G50" s="53" t="n"/>
      <c r="H50" s="53" t="n"/>
      <c r="I50" s="54" t="n"/>
      <c r="J50" s="54" t="n"/>
      <c r="K50" s="53" t="n"/>
    </row>
    <row r="51" ht="20" customHeight="1">
      <c r="B51" s="55" t="n"/>
      <c r="C51" s="56" t="n"/>
      <c r="D51" s="47">
        <f>IF($E51="","",IFERROR(VLOOKUP($E51,CatIcons,2,FALSE),""))</f>
        <v/>
      </c>
      <c r="E51" s="56" t="n"/>
      <c r="F51" s="56" t="n"/>
      <c r="G51" s="56" t="n"/>
      <c r="H51" s="56" t="n"/>
      <c r="I51" s="57" t="n"/>
      <c r="J51" s="57" t="n"/>
      <c r="K51" s="56" t="n"/>
    </row>
    <row r="52" ht="20" customHeight="1">
      <c r="B52" s="52" t="n"/>
      <c r="C52" s="53" t="n"/>
      <c r="D52" s="43">
        <f>IF($E52="","",IFERROR(VLOOKUP($E52,CatIcons,2,FALSE),""))</f>
        <v/>
      </c>
      <c r="E52" s="53" t="n"/>
      <c r="F52" s="53" t="n"/>
      <c r="G52" s="53" t="n"/>
      <c r="H52" s="53" t="n"/>
      <c r="I52" s="54" t="n"/>
      <c r="J52" s="54" t="n"/>
      <c r="K52" s="53" t="n"/>
    </row>
    <row r="53" ht="20" customHeight="1">
      <c r="B53" s="55" t="n"/>
      <c r="C53" s="56" t="n"/>
      <c r="D53" s="47">
        <f>IF($E53="","",IFERROR(VLOOKUP($E53,CatIcons,2,FALSE),""))</f>
        <v/>
      </c>
      <c r="E53" s="56" t="n"/>
      <c r="F53" s="56" t="n"/>
      <c r="G53" s="56" t="n"/>
      <c r="H53" s="56" t="n"/>
      <c r="I53" s="57" t="n"/>
      <c r="J53" s="57" t="n"/>
      <c r="K53" s="56" t="n"/>
    </row>
    <row r="54" ht="20" customHeight="1">
      <c r="B54" s="52" t="n"/>
      <c r="C54" s="53" t="n"/>
      <c r="D54" s="43">
        <f>IF($E54="","",IFERROR(VLOOKUP($E54,CatIcons,2,FALSE),""))</f>
        <v/>
      </c>
      <c r="E54" s="53" t="n"/>
      <c r="F54" s="53" t="n"/>
      <c r="G54" s="53" t="n"/>
      <c r="H54" s="53" t="n"/>
      <c r="I54" s="54" t="n"/>
      <c r="J54" s="54" t="n"/>
      <c r="K54" s="53" t="n"/>
    </row>
    <row r="55" ht="20" customHeight="1">
      <c r="B55" s="55" t="n"/>
      <c r="C55" s="56" t="n"/>
      <c r="D55" s="47">
        <f>IF($E55="","",IFERROR(VLOOKUP($E55,CatIcons,2,FALSE),""))</f>
        <v/>
      </c>
      <c r="E55" s="56" t="n"/>
      <c r="F55" s="56" t="n"/>
      <c r="G55" s="56" t="n"/>
      <c r="H55" s="56" t="n"/>
      <c r="I55" s="57" t="n"/>
      <c r="J55" s="57" t="n"/>
      <c r="K55" s="56" t="n"/>
    </row>
    <row r="56" ht="20" customHeight="1">
      <c r="B56" s="52" t="n"/>
      <c r="C56" s="53" t="n"/>
      <c r="D56" s="43">
        <f>IF($E56="","",IFERROR(VLOOKUP($E56,CatIcons,2,FALSE),""))</f>
        <v/>
      </c>
      <c r="E56" s="53" t="n"/>
      <c r="F56" s="53" t="n"/>
      <c r="G56" s="53" t="n"/>
      <c r="H56" s="53" t="n"/>
      <c r="I56" s="54" t="n"/>
      <c r="J56" s="54" t="n"/>
      <c r="K56" s="53" t="n"/>
    </row>
    <row r="57" ht="20" customHeight="1">
      <c r="B57" s="55" t="n"/>
      <c r="C57" s="56" t="n"/>
      <c r="D57" s="47">
        <f>IF($E57="","",IFERROR(VLOOKUP($E57,CatIcons,2,FALSE),""))</f>
        <v/>
      </c>
      <c r="E57" s="56" t="n"/>
      <c r="F57" s="56" t="n"/>
      <c r="G57" s="56" t="n"/>
      <c r="H57" s="56" t="n"/>
      <c r="I57" s="57" t="n"/>
      <c r="J57" s="57" t="n"/>
      <c r="K57" s="56" t="n"/>
    </row>
    <row r="58" ht="20" customHeight="1">
      <c r="B58" s="52" t="n"/>
      <c r="C58" s="53" t="n"/>
      <c r="D58" s="43">
        <f>IF($E58="","",IFERROR(VLOOKUP($E58,CatIcons,2,FALSE),""))</f>
        <v/>
      </c>
      <c r="E58" s="53" t="n"/>
      <c r="F58" s="53" t="n"/>
      <c r="G58" s="53" t="n"/>
      <c r="H58" s="53" t="n"/>
      <c r="I58" s="54" t="n"/>
      <c r="J58" s="54" t="n"/>
      <c r="K58" s="53" t="n"/>
    </row>
    <row r="59" ht="20" customHeight="1">
      <c r="B59" s="55" t="n"/>
      <c r="C59" s="56" t="n"/>
      <c r="D59" s="47">
        <f>IF($E59="","",IFERROR(VLOOKUP($E59,CatIcons,2,FALSE),""))</f>
        <v/>
      </c>
      <c r="E59" s="56" t="n"/>
      <c r="F59" s="56" t="n"/>
      <c r="G59" s="56" t="n"/>
      <c r="H59" s="56" t="n"/>
      <c r="I59" s="57" t="n"/>
      <c r="J59" s="57" t="n"/>
      <c r="K59" s="56" t="n"/>
    </row>
    <row r="60" ht="20" customHeight="1">
      <c r="B60" s="52" t="n"/>
      <c r="C60" s="53" t="n"/>
      <c r="D60" s="43">
        <f>IF($E60="","",IFERROR(VLOOKUP($E60,CatIcons,2,FALSE),""))</f>
        <v/>
      </c>
      <c r="E60" s="53" t="n"/>
      <c r="F60" s="53" t="n"/>
      <c r="G60" s="53" t="n"/>
      <c r="H60" s="53" t="n"/>
      <c r="I60" s="54" t="n"/>
      <c r="J60" s="54" t="n"/>
      <c r="K60" s="53" t="n"/>
    </row>
    <row r="61" ht="20" customHeight="1">
      <c r="B61" s="55" t="n"/>
      <c r="C61" s="56" t="n"/>
      <c r="D61" s="47">
        <f>IF($E61="","",IFERROR(VLOOKUP($E61,CatIcons,2,FALSE),""))</f>
        <v/>
      </c>
      <c r="E61" s="56" t="n"/>
      <c r="F61" s="56" t="n"/>
      <c r="G61" s="56" t="n"/>
      <c r="H61" s="56" t="n"/>
      <c r="I61" s="57" t="n"/>
      <c r="J61" s="57" t="n"/>
      <c r="K61" s="56" t="n"/>
    </row>
    <row r="62" ht="20" customHeight="1">
      <c r="B62" s="52" t="n"/>
      <c r="C62" s="53" t="n"/>
      <c r="D62" s="43">
        <f>IF($E62="","",IFERROR(VLOOKUP($E62,CatIcons,2,FALSE),""))</f>
        <v/>
      </c>
      <c r="E62" s="53" t="n"/>
      <c r="F62" s="53" t="n"/>
      <c r="G62" s="53" t="n"/>
      <c r="H62" s="53" t="n"/>
      <c r="I62" s="54" t="n"/>
      <c r="J62" s="54" t="n"/>
      <c r="K62" s="53" t="n"/>
    </row>
    <row r="63" ht="20" customHeight="1">
      <c r="B63" s="55" t="n"/>
      <c r="C63" s="56" t="n"/>
      <c r="D63" s="47">
        <f>IF($E63="","",IFERROR(VLOOKUP($E63,CatIcons,2,FALSE),""))</f>
        <v/>
      </c>
      <c r="E63" s="56" t="n"/>
      <c r="F63" s="56" t="n"/>
      <c r="G63" s="56" t="n"/>
      <c r="H63" s="56" t="n"/>
      <c r="I63" s="57" t="n"/>
      <c r="J63" s="57" t="n"/>
      <c r="K63" s="56" t="n"/>
    </row>
    <row r="64" ht="20" customHeight="1">
      <c r="B64" s="52" t="n"/>
      <c r="C64" s="53" t="n"/>
      <c r="D64" s="43">
        <f>IF($E64="","",IFERROR(VLOOKUP($E64,CatIcons,2,FALSE),""))</f>
        <v/>
      </c>
      <c r="E64" s="53" t="n"/>
      <c r="F64" s="53" t="n"/>
      <c r="G64" s="53" t="n"/>
      <c r="H64" s="53" t="n"/>
      <c r="I64" s="54" t="n"/>
      <c r="J64" s="54" t="n"/>
      <c r="K64" s="53" t="n"/>
    </row>
    <row r="65" ht="20" customHeight="1">
      <c r="B65" s="55" t="n"/>
      <c r="C65" s="56" t="n"/>
      <c r="D65" s="47">
        <f>IF($E65="","",IFERROR(VLOOKUP($E65,CatIcons,2,FALSE),""))</f>
        <v/>
      </c>
      <c r="E65" s="56" t="n"/>
      <c r="F65" s="56" t="n"/>
      <c r="G65" s="56" t="n"/>
      <c r="H65" s="56" t="n"/>
      <c r="I65" s="57" t="n"/>
      <c r="J65" s="57" t="n"/>
      <c r="K65" s="56" t="n"/>
    </row>
    <row r="66" ht="20" customHeight="1">
      <c r="B66" s="52" t="n"/>
      <c r="C66" s="53" t="n"/>
      <c r="D66" s="43">
        <f>IF($E66="","",IFERROR(VLOOKUP($E66,CatIcons,2,FALSE),""))</f>
        <v/>
      </c>
      <c r="E66" s="53" t="n"/>
      <c r="F66" s="53" t="n"/>
      <c r="G66" s="53" t="n"/>
      <c r="H66" s="53" t="n"/>
      <c r="I66" s="54" t="n"/>
      <c r="J66" s="54" t="n"/>
      <c r="K66" s="53" t="n"/>
    </row>
    <row r="67" ht="20" customHeight="1">
      <c r="B67" s="55" t="n"/>
      <c r="C67" s="56" t="n"/>
      <c r="D67" s="47">
        <f>IF($E67="","",IFERROR(VLOOKUP($E67,CatIcons,2,FALSE),""))</f>
        <v/>
      </c>
      <c r="E67" s="56" t="n"/>
      <c r="F67" s="56" t="n"/>
      <c r="G67" s="56" t="n"/>
      <c r="H67" s="56" t="n"/>
      <c r="I67" s="57" t="n"/>
      <c r="J67" s="57" t="n"/>
      <c r="K67" s="56" t="n"/>
    </row>
    <row r="68" ht="20" customHeight="1">
      <c r="B68" s="52" t="n"/>
      <c r="C68" s="53" t="n"/>
      <c r="D68" s="43">
        <f>IF($E68="","",IFERROR(VLOOKUP($E68,CatIcons,2,FALSE),""))</f>
        <v/>
      </c>
      <c r="E68" s="53" t="n"/>
      <c r="F68" s="53" t="n"/>
      <c r="G68" s="53" t="n"/>
      <c r="H68" s="53" t="n"/>
      <c r="I68" s="54" t="n"/>
      <c r="J68" s="54" t="n"/>
      <c r="K68" s="53" t="n"/>
    </row>
    <row r="69" ht="20" customHeight="1">
      <c r="B69" s="55" t="n"/>
      <c r="C69" s="56" t="n"/>
      <c r="D69" s="47">
        <f>IF($E69="","",IFERROR(VLOOKUP($E69,CatIcons,2,FALSE),""))</f>
        <v/>
      </c>
      <c r="E69" s="56" t="n"/>
      <c r="F69" s="56" t="n"/>
      <c r="G69" s="56" t="n"/>
      <c r="H69" s="56" t="n"/>
      <c r="I69" s="57" t="n"/>
      <c r="J69" s="57" t="n"/>
      <c r="K69" s="56" t="n"/>
    </row>
    <row r="70" ht="20" customHeight="1">
      <c r="B70" s="52" t="n"/>
      <c r="C70" s="53" t="n"/>
      <c r="D70" s="43">
        <f>IF($E70="","",IFERROR(VLOOKUP($E70,CatIcons,2,FALSE),""))</f>
        <v/>
      </c>
      <c r="E70" s="53" t="n"/>
      <c r="F70" s="53" t="n"/>
      <c r="G70" s="53" t="n"/>
      <c r="H70" s="53" t="n"/>
      <c r="I70" s="54" t="n"/>
      <c r="J70" s="54" t="n"/>
      <c r="K70" s="53" t="n"/>
    </row>
    <row r="71" ht="20" customHeight="1">
      <c r="B71" s="55" t="n"/>
      <c r="C71" s="56" t="n"/>
      <c r="D71" s="47">
        <f>IF($E71="","",IFERROR(VLOOKUP($E71,CatIcons,2,FALSE),""))</f>
        <v/>
      </c>
      <c r="E71" s="56" t="n"/>
      <c r="F71" s="56" t="n"/>
      <c r="G71" s="56" t="n"/>
      <c r="H71" s="56" t="n"/>
      <c r="I71" s="57" t="n"/>
      <c r="J71" s="57" t="n"/>
      <c r="K71" s="56" t="n"/>
    </row>
    <row r="72" ht="20" customHeight="1">
      <c r="B72" s="52" t="n"/>
      <c r="C72" s="53" t="n"/>
      <c r="D72" s="43">
        <f>IF($E72="","",IFERROR(VLOOKUP($E72,CatIcons,2,FALSE),""))</f>
        <v/>
      </c>
      <c r="E72" s="53" t="n"/>
      <c r="F72" s="53" t="n"/>
      <c r="G72" s="53" t="n"/>
      <c r="H72" s="53" t="n"/>
      <c r="I72" s="54" t="n"/>
      <c r="J72" s="54" t="n"/>
      <c r="K72" s="53" t="n"/>
    </row>
    <row r="73" ht="20" customHeight="1">
      <c r="B73" s="55" t="n"/>
      <c r="C73" s="56" t="n"/>
      <c r="D73" s="47">
        <f>IF($E73="","",IFERROR(VLOOKUP($E73,CatIcons,2,FALSE),""))</f>
        <v/>
      </c>
      <c r="E73" s="56" t="n"/>
      <c r="F73" s="56" t="n"/>
      <c r="G73" s="56" t="n"/>
      <c r="H73" s="56" t="n"/>
      <c r="I73" s="57" t="n"/>
      <c r="J73" s="57" t="n"/>
      <c r="K73" s="56" t="n"/>
    </row>
    <row r="74" ht="20" customHeight="1">
      <c r="B74" s="52" t="n"/>
      <c r="C74" s="53" t="n"/>
      <c r="D74" s="43">
        <f>IF($E74="","",IFERROR(VLOOKUP($E74,CatIcons,2,FALSE),""))</f>
        <v/>
      </c>
      <c r="E74" s="53" t="n"/>
      <c r="F74" s="53" t="n"/>
      <c r="G74" s="53" t="n"/>
      <c r="H74" s="53" t="n"/>
      <c r="I74" s="54" t="n"/>
      <c r="J74" s="54" t="n"/>
      <c r="K74" s="53" t="n"/>
    </row>
    <row r="75" ht="20" customHeight="1">
      <c r="B75" s="55" t="n"/>
      <c r="C75" s="56" t="n"/>
      <c r="D75" s="47">
        <f>IF($E75="","",IFERROR(VLOOKUP($E75,CatIcons,2,FALSE),""))</f>
        <v/>
      </c>
      <c r="E75" s="56" t="n"/>
      <c r="F75" s="56" t="n"/>
      <c r="G75" s="56" t="n"/>
      <c r="H75" s="56" t="n"/>
      <c r="I75" s="57" t="n"/>
      <c r="J75" s="57" t="n"/>
      <c r="K75" s="56" t="n"/>
    </row>
    <row r="76" ht="20" customHeight="1">
      <c r="B76" s="52" t="n"/>
      <c r="C76" s="53" t="n"/>
      <c r="D76" s="43">
        <f>IF($E76="","",IFERROR(VLOOKUP($E76,CatIcons,2,FALSE),""))</f>
        <v/>
      </c>
      <c r="E76" s="53" t="n"/>
      <c r="F76" s="53" t="n"/>
      <c r="G76" s="53" t="n"/>
      <c r="H76" s="53" t="n"/>
      <c r="I76" s="54" t="n"/>
      <c r="J76" s="54" t="n"/>
      <c r="K76" s="53" t="n"/>
    </row>
    <row r="77" ht="20" customHeight="1">
      <c r="B77" s="55" t="n"/>
      <c r="C77" s="56" t="n"/>
      <c r="D77" s="47">
        <f>IF($E77="","",IFERROR(VLOOKUP($E77,CatIcons,2,FALSE),""))</f>
        <v/>
      </c>
      <c r="E77" s="56" t="n"/>
      <c r="F77" s="56" t="n"/>
      <c r="G77" s="56" t="n"/>
      <c r="H77" s="56" t="n"/>
      <c r="I77" s="57" t="n"/>
      <c r="J77" s="57" t="n"/>
      <c r="K77" s="56" t="n"/>
    </row>
    <row r="78" ht="20" customHeight="1">
      <c r="B78" s="52" t="n"/>
      <c r="C78" s="53" t="n"/>
      <c r="D78" s="43">
        <f>IF($E78="","",IFERROR(VLOOKUP($E78,CatIcons,2,FALSE),""))</f>
        <v/>
      </c>
      <c r="E78" s="53" t="n"/>
      <c r="F78" s="53" t="n"/>
      <c r="G78" s="53" t="n"/>
      <c r="H78" s="53" t="n"/>
      <c r="I78" s="54" t="n"/>
      <c r="J78" s="54" t="n"/>
      <c r="K78" s="53" t="n"/>
    </row>
    <row r="79" ht="20" customHeight="1">
      <c r="B79" s="55" t="n"/>
      <c r="C79" s="56" t="n"/>
      <c r="D79" s="47">
        <f>IF($E79="","",IFERROR(VLOOKUP($E79,CatIcons,2,FALSE),""))</f>
        <v/>
      </c>
      <c r="E79" s="56" t="n"/>
      <c r="F79" s="56" t="n"/>
      <c r="G79" s="56" t="n"/>
      <c r="H79" s="56" t="n"/>
      <c r="I79" s="57" t="n"/>
      <c r="J79" s="57" t="n"/>
      <c r="K79" s="56" t="n"/>
    </row>
    <row r="80" ht="20" customHeight="1">
      <c r="B80" s="52" t="n"/>
      <c r="C80" s="53" t="n"/>
      <c r="D80" s="43">
        <f>IF($E80="","",IFERROR(VLOOKUP($E80,CatIcons,2,FALSE),""))</f>
        <v/>
      </c>
      <c r="E80" s="53" t="n"/>
      <c r="F80" s="53" t="n"/>
      <c r="G80" s="53" t="n"/>
      <c r="H80" s="53" t="n"/>
      <c r="I80" s="54" t="n"/>
      <c r="J80" s="54" t="n"/>
      <c r="K80" s="53" t="n"/>
    </row>
    <row r="81" ht="20" customHeight="1">
      <c r="B81" s="55" t="n"/>
      <c r="C81" s="56" t="n"/>
      <c r="D81" s="47">
        <f>IF($E81="","",IFERROR(VLOOKUP($E81,CatIcons,2,FALSE),""))</f>
        <v/>
      </c>
      <c r="E81" s="56" t="n"/>
      <c r="F81" s="56" t="n"/>
      <c r="G81" s="56" t="n"/>
      <c r="H81" s="56" t="n"/>
      <c r="I81" s="57" t="n"/>
      <c r="J81" s="57" t="n"/>
      <c r="K81" s="56" t="n"/>
    </row>
    <row r="82" ht="20" customHeight="1">
      <c r="B82" s="52" t="n"/>
      <c r="C82" s="53" t="n"/>
      <c r="D82" s="43">
        <f>IF($E82="","",IFERROR(VLOOKUP($E82,CatIcons,2,FALSE),""))</f>
        <v/>
      </c>
      <c r="E82" s="53" t="n"/>
      <c r="F82" s="53" t="n"/>
      <c r="G82" s="53" t="n"/>
      <c r="H82" s="53" t="n"/>
      <c r="I82" s="54" t="n"/>
      <c r="J82" s="54" t="n"/>
      <c r="K82" s="53" t="n"/>
    </row>
    <row r="83" ht="20" customHeight="1">
      <c r="B83" s="55" t="n"/>
      <c r="C83" s="56" t="n"/>
      <c r="D83" s="47">
        <f>IF($E83="","",IFERROR(VLOOKUP($E83,CatIcons,2,FALSE),""))</f>
        <v/>
      </c>
      <c r="E83" s="56" t="n"/>
      <c r="F83" s="56" t="n"/>
      <c r="G83" s="56" t="n"/>
      <c r="H83" s="56" t="n"/>
      <c r="I83" s="57" t="n"/>
      <c r="J83" s="57" t="n"/>
      <c r="K83" s="56" t="n"/>
    </row>
    <row r="84" ht="20" customHeight="1">
      <c r="B84" s="52" t="n"/>
      <c r="C84" s="53" t="n"/>
      <c r="D84" s="43">
        <f>IF($E84="","",IFERROR(VLOOKUP($E84,CatIcons,2,FALSE),""))</f>
        <v/>
      </c>
      <c r="E84" s="53" t="n"/>
      <c r="F84" s="53" t="n"/>
      <c r="G84" s="53" t="n"/>
      <c r="H84" s="53" t="n"/>
      <c r="I84" s="54" t="n"/>
      <c r="J84" s="54" t="n"/>
      <c r="K84" s="53" t="n"/>
    </row>
    <row r="85" ht="20" customHeight="1">
      <c r="B85" s="55" t="n"/>
      <c r="C85" s="56" t="n"/>
      <c r="D85" s="47">
        <f>IF($E85="","",IFERROR(VLOOKUP($E85,CatIcons,2,FALSE),""))</f>
        <v/>
      </c>
      <c r="E85" s="56" t="n"/>
      <c r="F85" s="56" t="n"/>
      <c r="G85" s="56" t="n"/>
      <c r="H85" s="56" t="n"/>
      <c r="I85" s="57" t="n"/>
      <c r="J85" s="57" t="n"/>
      <c r="K85" s="56" t="n"/>
    </row>
    <row r="86" ht="20" customHeight="1">
      <c r="B86" s="52" t="n"/>
      <c r="C86" s="53" t="n"/>
      <c r="D86" s="43">
        <f>IF($E86="","",IFERROR(VLOOKUP($E86,CatIcons,2,FALSE),""))</f>
        <v/>
      </c>
      <c r="E86" s="53" t="n"/>
      <c r="F86" s="53" t="n"/>
      <c r="G86" s="53" t="n"/>
      <c r="H86" s="53" t="n"/>
      <c r="I86" s="54" t="n"/>
      <c r="J86" s="54" t="n"/>
      <c r="K86" s="53" t="n"/>
    </row>
    <row r="87" ht="20" customHeight="1">
      <c r="B87" s="55" t="n"/>
      <c r="C87" s="56" t="n"/>
      <c r="D87" s="47">
        <f>IF($E87="","",IFERROR(VLOOKUP($E87,CatIcons,2,FALSE),""))</f>
        <v/>
      </c>
      <c r="E87" s="56" t="n"/>
      <c r="F87" s="56" t="n"/>
      <c r="G87" s="56" t="n"/>
      <c r="H87" s="56" t="n"/>
      <c r="I87" s="57" t="n"/>
      <c r="J87" s="57" t="n"/>
      <c r="K87" s="56" t="n"/>
    </row>
    <row r="88" ht="20" customHeight="1">
      <c r="B88" s="52" t="n"/>
      <c r="C88" s="53" t="n"/>
      <c r="D88" s="43">
        <f>IF($E88="","",IFERROR(VLOOKUP($E88,CatIcons,2,FALSE),""))</f>
        <v/>
      </c>
      <c r="E88" s="53" t="n"/>
      <c r="F88" s="53" t="n"/>
      <c r="G88" s="53" t="n"/>
      <c r="H88" s="53" t="n"/>
      <c r="I88" s="54" t="n"/>
      <c r="J88" s="54" t="n"/>
      <c r="K88" s="53" t="n"/>
    </row>
    <row r="89" ht="20" customHeight="1">
      <c r="B89" s="55" t="n"/>
      <c r="C89" s="56" t="n"/>
      <c r="D89" s="47">
        <f>IF($E89="","",IFERROR(VLOOKUP($E89,CatIcons,2,FALSE),""))</f>
        <v/>
      </c>
      <c r="E89" s="56" t="n"/>
      <c r="F89" s="56" t="n"/>
      <c r="G89" s="56" t="n"/>
      <c r="H89" s="56" t="n"/>
      <c r="I89" s="57" t="n"/>
      <c r="J89" s="57" t="n"/>
      <c r="K89" s="56" t="n"/>
    </row>
    <row r="90" ht="20" customHeight="1">
      <c r="B90" s="52" t="n"/>
      <c r="C90" s="53" t="n"/>
      <c r="D90" s="43">
        <f>IF($E90="","",IFERROR(VLOOKUP($E90,CatIcons,2,FALSE),""))</f>
        <v/>
      </c>
      <c r="E90" s="53" t="n"/>
      <c r="F90" s="53" t="n"/>
      <c r="G90" s="53" t="n"/>
      <c r="H90" s="53" t="n"/>
      <c r="I90" s="54" t="n"/>
      <c r="J90" s="54" t="n"/>
      <c r="K90" s="53" t="n"/>
    </row>
    <row r="91" ht="20" customHeight="1">
      <c r="B91" s="55" t="n"/>
      <c r="C91" s="56" t="n"/>
      <c r="D91" s="47">
        <f>IF($E91="","",IFERROR(VLOOKUP($E91,CatIcons,2,FALSE),""))</f>
        <v/>
      </c>
      <c r="E91" s="56" t="n"/>
      <c r="F91" s="56" t="n"/>
      <c r="G91" s="56" t="n"/>
      <c r="H91" s="56" t="n"/>
      <c r="I91" s="57" t="n"/>
      <c r="J91" s="57" t="n"/>
      <c r="K91" s="56" t="n"/>
    </row>
    <row r="92" ht="20" customHeight="1">
      <c r="B92" s="52" t="n"/>
      <c r="C92" s="53" t="n"/>
      <c r="D92" s="43">
        <f>IF($E92="","",IFERROR(VLOOKUP($E92,CatIcons,2,FALSE),""))</f>
        <v/>
      </c>
      <c r="E92" s="53" t="n"/>
      <c r="F92" s="53" t="n"/>
      <c r="G92" s="53" t="n"/>
      <c r="H92" s="53" t="n"/>
      <c r="I92" s="54" t="n"/>
      <c r="J92" s="54" t="n"/>
      <c r="K92" s="53" t="n"/>
    </row>
    <row r="93" ht="20" customHeight="1">
      <c r="B93" s="55" t="n"/>
      <c r="C93" s="56" t="n"/>
      <c r="D93" s="47">
        <f>IF($E93="","",IFERROR(VLOOKUP($E93,CatIcons,2,FALSE),""))</f>
        <v/>
      </c>
      <c r="E93" s="56" t="n"/>
      <c r="F93" s="56" t="n"/>
      <c r="G93" s="56" t="n"/>
      <c r="H93" s="56" t="n"/>
      <c r="I93" s="57" t="n"/>
      <c r="J93" s="57" t="n"/>
      <c r="K93" s="56" t="n"/>
    </row>
    <row r="94" ht="20" customHeight="1">
      <c r="B94" s="52" t="n"/>
      <c r="C94" s="53" t="n"/>
      <c r="D94" s="43">
        <f>IF($E94="","",IFERROR(VLOOKUP($E94,CatIcons,2,FALSE),""))</f>
        <v/>
      </c>
      <c r="E94" s="53" t="n"/>
      <c r="F94" s="53" t="n"/>
      <c r="G94" s="53" t="n"/>
      <c r="H94" s="53" t="n"/>
      <c r="I94" s="54" t="n"/>
      <c r="J94" s="54" t="n"/>
      <c r="K94" s="53" t="n"/>
    </row>
    <row r="95" ht="20" customHeight="1">
      <c r="B95" s="55" t="n"/>
      <c r="C95" s="56" t="n"/>
      <c r="D95" s="47">
        <f>IF($E95="","",IFERROR(VLOOKUP($E95,CatIcons,2,FALSE),""))</f>
        <v/>
      </c>
      <c r="E95" s="56" t="n"/>
      <c r="F95" s="56" t="n"/>
      <c r="G95" s="56" t="n"/>
      <c r="H95" s="56" t="n"/>
      <c r="I95" s="57" t="n"/>
      <c r="J95" s="57" t="n"/>
      <c r="K95" s="56" t="n"/>
    </row>
    <row r="96" ht="20" customHeight="1">
      <c r="B96" s="52" t="n"/>
      <c r="C96" s="53" t="n"/>
      <c r="D96" s="43">
        <f>IF($E96="","",IFERROR(VLOOKUP($E96,CatIcons,2,FALSE),""))</f>
        <v/>
      </c>
      <c r="E96" s="53" t="n"/>
      <c r="F96" s="53" t="n"/>
      <c r="G96" s="53" t="n"/>
      <c r="H96" s="53" t="n"/>
      <c r="I96" s="54" t="n"/>
      <c r="J96" s="54" t="n"/>
      <c r="K96" s="53" t="n"/>
    </row>
    <row r="97" ht="20" customHeight="1">
      <c r="B97" s="55" t="n"/>
      <c r="C97" s="56" t="n"/>
      <c r="D97" s="47">
        <f>IF($E97="","",IFERROR(VLOOKUP($E97,CatIcons,2,FALSE),""))</f>
        <v/>
      </c>
      <c r="E97" s="56" t="n"/>
      <c r="F97" s="56" t="n"/>
      <c r="G97" s="56" t="n"/>
      <c r="H97" s="56" t="n"/>
      <c r="I97" s="57" t="n"/>
      <c r="J97" s="57" t="n"/>
      <c r="K97" s="56" t="n"/>
    </row>
  </sheetData>
  <mergeCells count="6">
    <mergeCell ref="D7:E8"/>
    <mergeCell ref="B7:C8"/>
    <mergeCell ref="F7:G8"/>
    <mergeCell ref="B9:C9"/>
    <mergeCell ref="D9:E9"/>
    <mergeCell ref="F9:G9"/>
  </mergeCells>
  <dataValidations count="3">
    <dataValidation sqref="E12:E5000" showDropDown="0" showInputMessage="0" showErrorMessage="0" allowBlank="1" type="list">
      <formula1>=Categories</formula1>
    </dataValidation>
    <dataValidation sqref="G12:G5000" showDropDown="0" showInputMessage="0" showErrorMessage="0" allowBlank="1" type="list">
      <formula1>=PayMethods</formula1>
    </dataValidation>
    <dataValidation sqref="H12:H5000" showDropDown="0" showInputMessage="0" showErrorMessage="0" allowBlank="1" type="list">
      <formula1>=Accounts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9A87"/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" customWidth="1" min="2" max="2"/>
    <col width="14" customWidth="1" min="3" max="3"/>
    <col width="14" customWidth="1" min="4" max="4"/>
    <col width="14" customWidth="1" min="5" max="5"/>
    <col width="10" customWidth="1" min="6" max="6"/>
    <col width="15" customWidth="1" min="7" max="7"/>
    <col width="13" customWidth="1" min="8" max="8"/>
  </cols>
  <sheetData>
    <row r="2" ht="30" customHeight="1">
      <c r="B2" s="1" t="inlineStr">
        <is>
          <t>📊 Budget</t>
        </is>
      </c>
    </row>
    <row r="3">
      <c r="B3" s="2" t="inlineStr">
        <is>
          <t>Set a plan in the beige cells — actuals follow the month picked on the Dashboard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  <c r="I4" s="3" t="n"/>
    </row>
    <row r="5" ht="8" customHeight="1"/>
    <row r="6" ht="16" customHeight="1">
      <c r="B6" s="7" t="inlineStr">
        <is>
          <t>🎯  PLANNED</t>
        </is>
      </c>
      <c r="C6" s="8" t="n"/>
      <c r="D6" s="9" t="inlineStr">
        <is>
          <t>💸  SPENT</t>
        </is>
      </c>
      <c r="E6" s="8" t="n"/>
      <c r="F6" s="10" t="inlineStr">
        <is>
          <t>💼  LEFT TO SPEND</t>
        </is>
      </c>
      <c r="G6" s="8" t="n"/>
    </row>
    <row r="7" ht="15" customHeight="1">
      <c r="B7" s="12">
        <f>SUM(C13:C28)</f>
        <v/>
      </c>
      <c r="C7" s="13" t="n"/>
      <c r="D7" s="14">
        <f>SUM(D13:D28)</f>
        <v/>
      </c>
      <c r="E7" s="13" t="n"/>
      <c r="F7" s="15">
        <f>SUM(C13:C28)-SUM(D13:D28)</f>
        <v/>
      </c>
      <c r="G7" s="13" t="n"/>
    </row>
    <row r="8" ht="15" customHeight="1">
      <c r="B8" s="17" t="n"/>
      <c r="C8" s="13" t="n"/>
      <c r="D8" s="18" t="n"/>
      <c r="E8" s="13" t="n"/>
      <c r="F8" s="19" t="n"/>
      <c r="G8" s="13" t="n"/>
    </row>
    <row r="9" ht="13" customHeight="1">
      <c r="B9" s="21">
        <f>"Total monthly budget"</f>
        <v/>
      </c>
      <c r="C9" s="22" t="n"/>
      <c r="D9" s="23">
        <f>TEXT('🏠 Dashboard'!$C$6,"mmmm yyyy")</f>
        <v/>
      </c>
      <c r="E9" s="22" t="n"/>
      <c r="F9" s="24">
        <f>"Planned − spent"</f>
        <v/>
      </c>
      <c r="G9" s="22" t="n"/>
    </row>
    <row r="12" ht="22" customHeight="1">
      <c r="B12" s="28" t="inlineStr">
        <is>
          <t>CATEGORY</t>
        </is>
      </c>
      <c r="C12" s="29" t="inlineStr">
        <is>
          <t>BUDGET</t>
        </is>
      </c>
      <c r="D12" s="29" t="inlineStr">
        <is>
          <t>ACTUAL</t>
        </is>
      </c>
      <c r="E12" s="29" t="inlineStr">
        <is>
          <t>LEFT</t>
        </is>
      </c>
      <c r="F12" s="29" t="inlineStr">
        <is>
          <t>% USED</t>
        </is>
      </c>
      <c r="G12" s="28" t="inlineStr">
        <is>
          <t> </t>
        </is>
      </c>
      <c r="H12" s="28" t="inlineStr">
        <is>
          <t>STATUS</t>
        </is>
      </c>
    </row>
    <row r="13" ht="18" customHeight="1">
      <c r="B13" s="30" t="inlineStr">
        <is>
          <t>🏠  Housing</t>
        </is>
      </c>
      <c r="C13" s="58" t="n">
        <v>950</v>
      </c>
      <c r="D13" s="31">
        <f>SUMIFS('💳 Transactions'!$J$12:$J$5000,'💳 Transactions'!$E$12:$E$5000,"Housing",'💳 Transactions'!$B$12:$B$5000,"&gt;="&amp;'🏠 Dashboard'!$C$6,'💳 Transactions'!$B$12:$B$5000,"&lt;"&amp;EOMONTH('🏠 Dashboard'!$C$6,0)+1)</f>
        <v/>
      </c>
      <c r="E13" s="59">
        <f>$C13-$D13</f>
        <v/>
      </c>
      <c r="F13" s="32">
        <f>IFERROR($D13/$C13,0)</f>
        <v/>
      </c>
      <c r="G13" s="33">
        <f>REPT("█",ROUND(MAX(0,MIN(1,IFERROR($D13/$C13,0)))*10,0))&amp;REPT("░",10-ROUND(MAX(0,MIN(1,IFERROR($D13/$C13,0)))*10,0))</f>
        <v/>
      </c>
      <c r="H13" s="30">
        <f>IF($C13=0,"—",IF($D13&gt;$C13,"🔴 Over",IF($D13&gt;0.85*$C13,"🟡 Close","🟢 On track")))</f>
        <v/>
      </c>
    </row>
    <row r="14" ht="18" customHeight="1">
      <c r="B14" s="36" t="inlineStr">
        <is>
          <t>🍽️  Food</t>
        </is>
      </c>
      <c r="C14" s="60" t="n">
        <v>350</v>
      </c>
      <c r="D14" s="37">
        <f>SUMIFS('💳 Transactions'!$J$12:$J$5000,'💳 Transactions'!$E$12:$E$5000,"Food",'💳 Transactions'!$B$12:$B$5000,"&gt;="&amp;'🏠 Dashboard'!$C$6,'💳 Transactions'!$B$12:$B$5000,"&lt;"&amp;EOMONTH('🏠 Dashboard'!$C$6,0)+1)</f>
        <v/>
      </c>
      <c r="E14" s="61">
        <f>$C14-$D14</f>
        <v/>
      </c>
      <c r="F14" s="38">
        <f>IFERROR($D14/$C14,0)</f>
        <v/>
      </c>
      <c r="G14" s="39">
        <f>REPT("█",ROUND(MAX(0,MIN(1,IFERROR($D14/$C14,0)))*10,0))&amp;REPT("░",10-ROUND(MAX(0,MIN(1,IFERROR($D14/$C14,0)))*10,0))</f>
        <v/>
      </c>
      <c r="H14" s="36">
        <f>IF($C14=0,"—",IF($D14&gt;$C14,"🔴 Over",IF($D14&gt;0.85*$C14,"🟡 Close","🟢 On track")))</f>
        <v/>
      </c>
    </row>
    <row r="15" ht="18" customHeight="1">
      <c r="B15" s="30" t="inlineStr">
        <is>
          <t>🚗  Transportation</t>
        </is>
      </c>
      <c r="C15" s="58" t="n">
        <v>120</v>
      </c>
      <c r="D15" s="31">
        <f>SUMIFS('💳 Transactions'!$J$12:$J$5000,'💳 Transactions'!$E$12:$E$5000,"Transportation",'💳 Transactions'!$B$12:$B$5000,"&gt;="&amp;'🏠 Dashboard'!$C$6,'💳 Transactions'!$B$12:$B$5000,"&lt;"&amp;EOMONTH('🏠 Dashboard'!$C$6,0)+1)</f>
        <v/>
      </c>
      <c r="E15" s="59">
        <f>$C15-$D15</f>
        <v/>
      </c>
      <c r="F15" s="32">
        <f>IFERROR($D15/$C15,0)</f>
        <v/>
      </c>
      <c r="G15" s="33">
        <f>REPT("█",ROUND(MAX(0,MIN(1,IFERROR($D15/$C15,0)))*10,0))&amp;REPT("░",10-ROUND(MAX(0,MIN(1,IFERROR($D15/$C15,0)))*10,0))</f>
        <v/>
      </c>
      <c r="H15" s="30">
        <f>IF($C15=0,"—",IF($D15&gt;$C15,"🔴 Over",IF($D15&gt;0.85*$C15,"🟡 Close","🟢 On track")))</f>
        <v/>
      </c>
    </row>
    <row r="16" ht="18" customHeight="1">
      <c r="B16" s="36" t="inlineStr">
        <is>
          <t>🛍️  Shopping</t>
        </is>
      </c>
      <c r="C16" s="60" t="n">
        <v>100</v>
      </c>
      <c r="D16" s="37">
        <f>SUMIFS('💳 Transactions'!$J$12:$J$5000,'💳 Transactions'!$E$12:$E$5000,"Shopping",'💳 Transactions'!$B$12:$B$5000,"&gt;="&amp;'🏠 Dashboard'!$C$6,'💳 Transactions'!$B$12:$B$5000,"&lt;"&amp;EOMONTH('🏠 Dashboard'!$C$6,0)+1)</f>
        <v/>
      </c>
      <c r="E16" s="61">
        <f>$C16-$D16</f>
        <v/>
      </c>
      <c r="F16" s="38">
        <f>IFERROR($D16/$C16,0)</f>
        <v/>
      </c>
      <c r="G16" s="39">
        <f>REPT("█",ROUND(MAX(0,MIN(1,IFERROR($D16/$C16,0)))*10,0))&amp;REPT("░",10-ROUND(MAX(0,MIN(1,IFERROR($D16/$C16,0)))*10,0))</f>
        <v/>
      </c>
      <c r="H16" s="36">
        <f>IF($C16=0,"—",IF($D16&gt;$C16,"🔴 Over",IF($D16&gt;0.85*$C16,"🟡 Close","🟢 On track")))</f>
        <v/>
      </c>
    </row>
    <row r="17" ht="18" customHeight="1">
      <c r="B17" s="30" t="inlineStr">
        <is>
          <t>🎬  Entertainment</t>
        </is>
      </c>
      <c r="C17" s="58" t="n">
        <v>60</v>
      </c>
      <c r="D17" s="31">
        <f>SUMIFS('💳 Transactions'!$J$12:$J$5000,'💳 Transactions'!$E$12:$E$5000,"Entertainment",'💳 Transactions'!$B$12:$B$5000,"&gt;="&amp;'🏠 Dashboard'!$C$6,'💳 Transactions'!$B$12:$B$5000,"&lt;"&amp;EOMONTH('🏠 Dashboard'!$C$6,0)+1)</f>
        <v/>
      </c>
      <c r="E17" s="59">
        <f>$C17-$D17</f>
        <v/>
      </c>
      <c r="F17" s="32">
        <f>IFERROR($D17/$C17,0)</f>
        <v/>
      </c>
      <c r="G17" s="33">
        <f>REPT("█",ROUND(MAX(0,MIN(1,IFERROR($D17/$C17,0)))*10,0))&amp;REPT("░",10-ROUND(MAX(0,MIN(1,IFERROR($D17/$C17,0)))*10,0))</f>
        <v/>
      </c>
      <c r="H17" s="30">
        <f>IF($C17=0,"—",IF($D17&gt;$C17,"🔴 Over",IF($D17&gt;0.85*$C17,"🟡 Close","🟢 On track")))</f>
        <v/>
      </c>
    </row>
    <row r="18" ht="18" customHeight="1">
      <c r="B18" s="36" t="inlineStr">
        <is>
          <t>🩺  Health</t>
        </is>
      </c>
      <c r="C18" s="60" t="n">
        <v>80</v>
      </c>
      <c r="D18" s="37">
        <f>SUMIFS('💳 Transactions'!$J$12:$J$5000,'💳 Transactions'!$E$12:$E$5000,"Health",'💳 Transactions'!$B$12:$B$5000,"&gt;="&amp;'🏠 Dashboard'!$C$6,'💳 Transactions'!$B$12:$B$5000,"&lt;"&amp;EOMONTH('🏠 Dashboard'!$C$6,0)+1)</f>
        <v/>
      </c>
      <c r="E18" s="61">
        <f>$C18-$D18</f>
        <v/>
      </c>
      <c r="F18" s="38">
        <f>IFERROR($D18/$C18,0)</f>
        <v/>
      </c>
      <c r="G18" s="39">
        <f>REPT("█",ROUND(MAX(0,MIN(1,IFERROR($D18/$C18,0)))*10,0))&amp;REPT("░",10-ROUND(MAX(0,MIN(1,IFERROR($D18/$C18,0)))*10,0))</f>
        <v/>
      </c>
      <c r="H18" s="36">
        <f>IF($C18=0,"—",IF($D18&gt;$C18,"🔴 Over",IF($D18&gt;0.85*$C18,"🟡 Close","🟢 On track")))</f>
        <v/>
      </c>
    </row>
    <row r="19" ht="18" customHeight="1">
      <c r="B19" s="30" t="inlineStr">
        <is>
          <t>🛡️  Insurance</t>
        </is>
      </c>
      <c r="C19" s="58" t="n">
        <v>60</v>
      </c>
      <c r="D19" s="31">
        <f>SUMIFS('💳 Transactions'!$J$12:$J$5000,'💳 Transactions'!$E$12:$E$5000,"Insurance",'💳 Transactions'!$B$12:$B$5000,"&gt;="&amp;'🏠 Dashboard'!$C$6,'💳 Transactions'!$B$12:$B$5000,"&lt;"&amp;EOMONTH('🏠 Dashboard'!$C$6,0)+1)</f>
        <v/>
      </c>
      <c r="E19" s="59">
        <f>$C19-$D19</f>
        <v/>
      </c>
      <c r="F19" s="32">
        <f>IFERROR($D19/$C19,0)</f>
        <v/>
      </c>
      <c r="G19" s="33">
        <f>REPT("█",ROUND(MAX(0,MIN(1,IFERROR($D19/$C19,0)))*10,0))&amp;REPT("░",10-ROUND(MAX(0,MIN(1,IFERROR($D19/$C19,0)))*10,0))</f>
        <v/>
      </c>
      <c r="H19" s="30">
        <f>IF($C19=0,"—",IF($D19&gt;$C19,"🔴 Over",IF($D19&gt;0.85*$C19,"🟡 Close","🟢 On track")))</f>
        <v/>
      </c>
    </row>
    <row r="20" ht="18" customHeight="1">
      <c r="B20" s="36" t="inlineStr">
        <is>
          <t>✈️  Travel</t>
        </is>
      </c>
      <c r="C20" s="60" t="n">
        <v>80</v>
      </c>
      <c r="D20" s="37">
        <f>SUMIFS('💳 Transactions'!$J$12:$J$5000,'💳 Transactions'!$E$12:$E$5000,"Travel",'💳 Transactions'!$B$12:$B$5000,"&gt;="&amp;'🏠 Dashboard'!$C$6,'💳 Transactions'!$B$12:$B$5000,"&lt;"&amp;EOMONTH('🏠 Dashboard'!$C$6,0)+1)</f>
        <v/>
      </c>
      <c r="E20" s="61">
        <f>$C20-$D20</f>
        <v/>
      </c>
      <c r="F20" s="38">
        <f>IFERROR($D20/$C20,0)</f>
        <v/>
      </c>
      <c r="G20" s="39">
        <f>REPT("█",ROUND(MAX(0,MIN(1,IFERROR($D20/$C20,0)))*10,0))&amp;REPT("░",10-ROUND(MAX(0,MIN(1,IFERROR($D20/$C20,0)))*10,0))</f>
        <v/>
      </c>
      <c r="H20" s="36">
        <f>IF($C20=0,"—",IF($D20&gt;$C20,"🔴 Over",IF($D20&gt;0.85*$C20,"🟡 Close","🟢 On track")))</f>
        <v/>
      </c>
    </row>
    <row r="21" ht="18" customHeight="1">
      <c r="B21" s="30" t="inlineStr">
        <is>
          <t>🎓  Education</t>
        </is>
      </c>
      <c r="C21" s="58" t="n">
        <v>50</v>
      </c>
      <c r="D21" s="31">
        <f>SUMIFS('💳 Transactions'!$J$12:$J$5000,'💳 Transactions'!$E$12:$E$5000,"Education",'💳 Transactions'!$B$12:$B$5000,"&gt;="&amp;'🏠 Dashboard'!$C$6,'💳 Transactions'!$B$12:$B$5000,"&lt;"&amp;EOMONTH('🏠 Dashboard'!$C$6,0)+1)</f>
        <v/>
      </c>
      <c r="E21" s="59">
        <f>$C21-$D21</f>
        <v/>
      </c>
      <c r="F21" s="32">
        <f>IFERROR($D21/$C21,0)</f>
        <v/>
      </c>
      <c r="G21" s="33">
        <f>REPT("█",ROUND(MAX(0,MIN(1,IFERROR($D21/$C21,0)))*10,0))&amp;REPT("░",10-ROUND(MAX(0,MIN(1,IFERROR($D21/$C21,0)))*10,0))</f>
        <v/>
      </c>
      <c r="H21" s="30">
        <f>IF($C21=0,"—",IF($D21&gt;$C21,"🔴 Over",IF($D21&gt;0.85*$C21,"🟡 Close","🟢 On track")))</f>
        <v/>
      </c>
    </row>
    <row r="22" ht="18" customHeight="1">
      <c r="B22" s="36" t="inlineStr">
        <is>
          <t>🔁  Subscriptions</t>
        </is>
      </c>
      <c r="C22" s="60" t="n">
        <v>30</v>
      </c>
      <c r="D22" s="37">
        <f>SUMIFS('💳 Transactions'!$J$12:$J$5000,'💳 Transactions'!$E$12:$E$5000,"Subscriptions",'💳 Transactions'!$B$12:$B$5000,"&gt;="&amp;'🏠 Dashboard'!$C$6,'💳 Transactions'!$B$12:$B$5000,"&lt;"&amp;EOMONTH('🏠 Dashboard'!$C$6,0)+1)</f>
        <v/>
      </c>
      <c r="E22" s="61">
        <f>$C22-$D22</f>
        <v/>
      </c>
      <c r="F22" s="38">
        <f>IFERROR($D22/$C22,0)</f>
        <v/>
      </c>
      <c r="G22" s="39">
        <f>REPT("█",ROUND(MAX(0,MIN(1,IFERROR($D22/$C22,0)))*10,0))&amp;REPT("░",10-ROUND(MAX(0,MIN(1,IFERROR($D22/$C22,0)))*10,0))</f>
        <v/>
      </c>
      <c r="H22" s="36">
        <f>IF($C22=0,"—",IF($D22&gt;$C22,"🔴 Over",IF($D22&gt;0.85*$C22,"🟡 Close","🟢 On track")))</f>
        <v/>
      </c>
    </row>
    <row r="23" ht="18" customHeight="1">
      <c r="B23" s="30" t="inlineStr">
        <is>
          <t>🐾  Pets</t>
        </is>
      </c>
      <c r="C23" s="58" t="n">
        <v>0</v>
      </c>
      <c r="D23" s="31">
        <f>SUMIFS('💳 Transactions'!$J$12:$J$5000,'💳 Transactions'!$E$12:$E$5000,"Pets",'💳 Transactions'!$B$12:$B$5000,"&gt;="&amp;'🏠 Dashboard'!$C$6,'💳 Transactions'!$B$12:$B$5000,"&lt;"&amp;EOMONTH('🏠 Dashboard'!$C$6,0)+1)</f>
        <v/>
      </c>
      <c r="E23" s="59">
        <f>$C23-$D23</f>
        <v/>
      </c>
      <c r="F23" s="32">
        <f>IFERROR($D23/$C23,0)</f>
        <v/>
      </c>
      <c r="G23" s="33">
        <f>REPT("█",ROUND(MAX(0,MIN(1,IFERROR($D23/$C23,0)))*10,0))&amp;REPT("░",10-ROUND(MAX(0,MIN(1,IFERROR($D23/$C23,0)))*10,0))</f>
        <v/>
      </c>
      <c r="H23" s="30">
        <f>IF($C23=0,"—",IF($D23&gt;$C23,"🔴 Over",IF($D23&gt;0.85*$C23,"🟡 Close","🟢 On track")))</f>
        <v/>
      </c>
    </row>
    <row r="24" ht="18" customHeight="1">
      <c r="B24" s="36" t="inlineStr">
        <is>
          <t>🧸  Children</t>
        </is>
      </c>
      <c r="C24" s="60" t="n">
        <v>0</v>
      </c>
      <c r="D24" s="37">
        <f>SUMIFS('💳 Transactions'!$J$12:$J$5000,'💳 Transactions'!$E$12:$E$5000,"Children",'💳 Transactions'!$B$12:$B$5000,"&gt;="&amp;'🏠 Dashboard'!$C$6,'💳 Transactions'!$B$12:$B$5000,"&lt;"&amp;EOMONTH('🏠 Dashboard'!$C$6,0)+1)</f>
        <v/>
      </c>
      <c r="E24" s="61">
        <f>$C24-$D24</f>
        <v/>
      </c>
      <c r="F24" s="38">
        <f>IFERROR($D24/$C24,0)</f>
        <v/>
      </c>
      <c r="G24" s="39">
        <f>REPT("█",ROUND(MAX(0,MIN(1,IFERROR($D24/$C24,0)))*10,0))&amp;REPT("░",10-ROUND(MAX(0,MIN(1,IFERROR($D24/$C24,0)))*10,0))</f>
        <v/>
      </c>
      <c r="H24" s="36">
        <f>IF($C24=0,"—",IF($D24&gt;$C24,"🔴 Over",IF($D24&gt;0.85*$C24,"🟡 Close","🟢 On track")))</f>
        <v/>
      </c>
    </row>
    <row r="25" ht="18" customHeight="1">
      <c r="B25" s="30" t="inlineStr">
        <is>
          <t>🏛️  Taxes</t>
        </is>
      </c>
      <c r="C25" s="58" t="n">
        <v>0</v>
      </c>
      <c r="D25" s="31">
        <f>SUMIFS('💳 Transactions'!$J$12:$J$5000,'💳 Transactions'!$E$12:$E$5000,"Taxes",'💳 Transactions'!$B$12:$B$5000,"&gt;="&amp;'🏠 Dashboard'!$C$6,'💳 Transactions'!$B$12:$B$5000,"&lt;"&amp;EOMONTH('🏠 Dashboard'!$C$6,0)+1)</f>
        <v/>
      </c>
      <c r="E25" s="59">
        <f>$C25-$D25</f>
        <v/>
      </c>
      <c r="F25" s="32">
        <f>IFERROR($D25/$C25,0)</f>
        <v/>
      </c>
      <c r="G25" s="33">
        <f>REPT("█",ROUND(MAX(0,MIN(1,IFERROR($D25/$C25,0)))*10,0))&amp;REPT("░",10-ROUND(MAX(0,MIN(1,IFERROR($D25/$C25,0)))*10,0))</f>
        <v/>
      </c>
      <c r="H25" s="30">
        <f>IF($C25=0,"—",IF($D25&gt;$C25,"🔴 Over",IF($D25&gt;0.85*$C25,"🟡 Close","🟢 On track")))</f>
        <v/>
      </c>
    </row>
    <row r="26" ht="18" customHeight="1">
      <c r="B26" s="36" t="inlineStr">
        <is>
          <t>🌱  Savings</t>
        </is>
      </c>
      <c r="C26" s="60" t="n">
        <v>300</v>
      </c>
      <c r="D26" s="37">
        <f>SUMIFS('💳 Transactions'!$J$12:$J$5000,'💳 Transactions'!$E$12:$E$5000,"Savings",'💳 Transactions'!$B$12:$B$5000,"&gt;="&amp;'🏠 Dashboard'!$C$6,'💳 Transactions'!$B$12:$B$5000,"&lt;"&amp;EOMONTH('🏠 Dashboard'!$C$6,0)+1)</f>
        <v/>
      </c>
      <c r="E26" s="61">
        <f>$C26-$D26</f>
        <v/>
      </c>
      <c r="F26" s="38">
        <f>IFERROR($D26/$C26,0)</f>
        <v/>
      </c>
      <c r="G26" s="39">
        <f>REPT("█",ROUND(MAX(0,MIN(1,IFERROR($D26/$C26,0)))*10,0))&amp;REPT("░",10-ROUND(MAX(0,MIN(1,IFERROR($D26/$C26,0)))*10,0))</f>
        <v/>
      </c>
      <c r="H26" s="36">
        <f>IF($C26=0,"—",IF($D26&gt;$C26,"🔴 Over",IF($D26&gt;0.85*$C26,"🟡 Close","🟢 On track")))</f>
        <v/>
      </c>
    </row>
    <row r="27" ht="18" customHeight="1">
      <c r="B27" s="30" t="inlineStr">
        <is>
          <t>📈  Investments</t>
        </is>
      </c>
      <c r="C27" s="58" t="n">
        <v>200</v>
      </c>
      <c r="D27" s="31">
        <f>SUMIFS('💳 Transactions'!$J$12:$J$5000,'💳 Transactions'!$E$12:$E$5000,"Investments",'💳 Transactions'!$B$12:$B$5000,"&gt;="&amp;'🏠 Dashboard'!$C$6,'💳 Transactions'!$B$12:$B$5000,"&lt;"&amp;EOMONTH('🏠 Dashboard'!$C$6,0)+1)</f>
        <v/>
      </c>
      <c r="E27" s="59">
        <f>$C27-$D27</f>
        <v/>
      </c>
      <c r="F27" s="32">
        <f>IFERROR($D27/$C27,0)</f>
        <v/>
      </c>
      <c r="G27" s="33">
        <f>REPT("█",ROUND(MAX(0,MIN(1,IFERROR($D27/$C27,0)))*10,0))&amp;REPT("░",10-ROUND(MAX(0,MIN(1,IFERROR($D27/$C27,0)))*10,0))</f>
        <v/>
      </c>
      <c r="H27" s="30">
        <f>IF($C27=0,"—",IF($D27&gt;$C27,"🔴 Over",IF($D27&gt;0.85*$C27,"🟡 Close","🟢 On track")))</f>
        <v/>
      </c>
    </row>
    <row r="28" ht="18" customHeight="1">
      <c r="B28" s="36" t="inlineStr">
        <is>
          <t>📦  Other</t>
        </is>
      </c>
      <c r="C28" s="60" t="n">
        <v>50</v>
      </c>
      <c r="D28" s="37">
        <f>SUMIFS('💳 Transactions'!$J$12:$J$5000,'💳 Transactions'!$E$12:$E$5000,"Other",'💳 Transactions'!$B$12:$B$5000,"&gt;="&amp;'🏠 Dashboard'!$C$6,'💳 Transactions'!$B$12:$B$5000,"&lt;"&amp;EOMONTH('🏠 Dashboard'!$C$6,0)+1)</f>
        <v/>
      </c>
      <c r="E28" s="61">
        <f>$C28-$D28</f>
        <v/>
      </c>
      <c r="F28" s="38">
        <f>IFERROR($D28/$C28,0)</f>
        <v/>
      </c>
      <c r="G28" s="39">
        <f>REPT("█",ROUND(MAX(0,MIN(1,IFERROR($D28/$C28,0)))*10,0))&amp;REPT("░",10-ROUND(MAX(0,MIN(1,IFERROR($D28/$C28,0)))*10,0))</f>
        <v/>
      </c>
      <c r="H28" s="36">
        <f>IF($C28=0,"—",IF($D28&gt;$C28,"🔴 Over",IF($D28&gt;0.85*$C28,"🟡 Close","🟢 On track")))</f>
        <v/>
      </c>
    </row>
    <row r="29">
      <c r="B29" s="40" t="inlineStr">
        <is>
          <t>TOTAL</t>
        </is>
      </c>
      <c r="C29" s="41">
        <f>SUM(C13:C28)</f>
        <v/>
      </c>
      <c r="D29" s="41">
        <f>SUM(D13:D28)</f>
        <v/>
      </c>
      <c r="E29" s="41">
        <f>C29-D29</f>
        <v/>
      </c>
      <c r="F29" s="62" t="n"/>
      <c r="G29" s="62" t="n"/>
      <c r="H29" s="62" t="n"/>
    </row>
  </sheetData>
  <mergeCells count="6">
    <mergeCell ref="D7:E8"/>
    <mergeCell ref="B7:C8"/>
    <mergeCell ref="F7:G8"/>
    <mergeCell ref="B9:C9"/>
    <mergeCell ref="D9:E9"/>
    <mergeCell ref="F9:G9"/>
  </mergeCells>
  <conditionalFormatting sqref="E13:E28">
    <cfRule type="cellIs" priority="1" operator="lessThan" dxfId="0">
      <formula>0</formula>
    </cfRule>
  </conditionalFormatting>
  <conditionalFormatting sqref="F13:F28">
    <cfRule type="cellIs" priority="2" operator="greaterThan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6744F"/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4" customWidth="1" min="5" max="5"/>
    <col width="11" customWidth="1" min="6" max="6"/>
    <col width="14" customWidth="1" min="7" max="7"/>
    <col width="15" customWidth="1" min="8" max="8"/>
    <col width="9" customWidth="1" min="9" max="9"/>
  </cols>
  <sheetData>
    <row r="2" ht="30" customHeight="1">
      <c r="B2" s="1" t="inlineStr">
        <is>
          <t>🌱 Goals</t>
        </is>
      </c>
    </row>
    <row r="3">
      <c r="B3" s="2" t="inlineStr">
        <is>
          <t>Name it, price it, date it — the planner tells you what to put away each month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8" customHeight="1"/>
    <row r="6" ht="16" customHeight="1">
      <c r="B6" s="7" t="inlineStr">
        <is>
          <t>🎯  TOTAL TARGET</t>
        </is>
      </c>
      <c r="C6" s="8" t="n"/>
      <c r="D6" s="11" t="inlineStr">
        <is>
          <t>🌱  SAVED SO FAR</t>
        </is>
      </c>
      <c r="E6" s="8" t="n"/>
      <c r="F6" s="10" t="inlineStr">
        <is>
          <t>🚀  OVERALL PROGRESS</t>
        </is>
      </c>
      <c r="G6" s="8" t="n"/>
    </row>
    <row r="7" ht="15" customHeight="1">
      <c r="B7" s="63">
        <f>SUM(C13:C20)</f>
        <v/>
      </c>
      <c r="C7" s="13" t="n"/>
      <c r="D7" s="64">
        <f>SUM(D13:D20)</f>
        <v/>
      </c>
      <c r="E7" s="13" t="n"/>
      <c r="F7" s="65">
        <f>IFERROR(SUM(D13:D20)/SUM(C13:C20),0)</f>
        <v/>
      </c>
      <c r="G7" s="13" t="n"/>
    </row>
    <row r="8" ht="15" customHeight="1">
      <c r="B8" s="17" t="n"/>
      <c r="C8" s="13" t="n"/>
      <c r="D8" s="20" t="n"/>
      <c r="E8" s="13" t="n"/>
      <c r="F8" s="19" t="n"/>
      <c r="G8" s="13" t="n"/>
    </row>
    <row r="9" ht="13" customHeight="1">
      <c r="B9" s="66" t="n"/>
      <c r="C9" s="67" t="n"/>
      <c r="D9" s="68" t="n"/>
      <c r="E9" s="67" t="n"/>
      <c r="F9" s="69" t="n"/>
      <c r="G9" s="67" t="n"/>
    </row>
    <row r="12" ht="22" customHeight="1">
      <c r="B12" s="28" t="inlineStr">
        <is>
          <t>GOAL</t>
        </is>
      </c>
      <c r="C12" s="29" t="inlineStr">
        <is>
          <t>TARGET</t>
        </is>
      </c>
      <c r="D12" s="29" t="inlineStr">
        <is>
          <t>SAVED</t>
        </is>
      </c>
      <c r="E12" s="28" t="inlineStr">
        <is>
          <t>TARGET DATE</t>
        </is>
      </c>
      <c r="F12" s="29" t="inlineStr">
        <is>
          <t>MONTHS LEFT</t>
        </is>
      </c>
      <c r="G12" s="29" t="inlineStr">
        <is>
          <t>NEEDED / MO</t>
        </is>
      </c>
      <c r="H12" s="28" t="inlineStr">
        <is>
          <t> </t>
        </is>
      </c>
      <c r="I12" s="29" t="inlineStr">
        <is>
          <t>%</t>
        </is>
      </c>
    </row>
    <row r="13" ht="20" customHeight="1">
      <c r="B13" s="70" t="inlineStr">
        <is>
          <t>🛟 Emergency fund</t>
        </is>
      </c>
      <c r="C13" s="71" t="n">
        <v>5000</v>
      </c>
      <c r="D13" s="71" t="n">
        <v>2100</v>
      </c>
      <c r="E13" s="72" t="n">
        <v>46387</v>
      </c>
      <c r="F13" s="73">
        <f>IF($E13="","",MAX(1,DATEDIF(TODAY(),$E13,"m")))</f>
        <v/>
      </c>
      <c r="G13" s="74">
        <f>IF($B13="","",MAX(0,$C13-$D13)/IF($F13="",1,$F13))</f>
        <v/>
      </c>
      <c r="H13" s="33">
        <f>IF($B13="","",REPT("█",ROUND(MAX(0,MIN(1,IFERROR($D13/$C13,0)))*10,0))&amp;REPT("░",10-ROUND(MAX(0,MIN(1,IFERROR($D13/$C13,0)))*10,0)))</f>
        <v/>
      </c>
      <c r="I13" s="32">
        <f>IF($B13="","",IFERROR($D13/$C13,0))</f>
        <v/>
      </c>
    </row>
    <row r="14" ht="20" customHeight="1">
      <c r="B14" s="70" t="inlineStr">
        <is>
          <t>✈️ Summer trip</t>
        </is>
      </c>
      <c r="C14" s="71" t="n">
        <v>1200</v>
      </c>
      <c r="D14" s="71" t="n">
        <v>450</v>
      </c>
      <c r="E14" s="72" t="n">
        <v>46539</v>
      </c>
      <c r="F14" s="75">
        <f>IF($E14="","",MAX(1,DATEDIF(TODAY(),$E14,"m")))</f>
        <v/>
      </c>
      <c r="G14" s="76">
        <f>IF($B14="","",MAX(0,$C14-$D14)/IF($F14="",1,$F14))</f>
        <v/>
      </c>
      <c r="H14" s="39">
        <f>IF($B14="","",REPT("█",ROUND(MAX(0,MIN(1,IFERROR($D14/$C14,0)))*10,0))&amp;REPT("░",10-ROUND(MAX(0,MIN(1,IFERROR($D14/$C14,0)))*10,0)))</f>
        <v/>
      </c>
      <c r="I14" s="38">
        <f>IF($B14="","",IFERROR($D14/$C14,0))</f>
        <v/>
      </c>
    </row>
    <row r="15" ht="20" customHeight="1">
      <c r="B15" s="70" t="inlineStr">
        <is>
          <t>💻 New laptop</t>
        </is>
      </c>
      <c r="C15" s="71" t="n">
        <v>1500</v>
      </c>
      <c r="D15" s="71" t="n">
        <v>600</v>
      </c>
      <c r="E15" s="72" t="n">
        <v>46327</v>
      </c>
      <c r="F15" s="73">
        <f>IF($E15="","",MAX(1,DATEDIF(TODAY(),$E15,"m")))</f>
        <v/>
      </c>
      <c r="G15" s="74">
        <f>IF($B15="","",MAX(0,$C15-$D15)/IF($F15="",1,$F15))</f>
        <v/>
      </c>
      <c r="H15" s="33">
        <f>IF($B15="","",REPT("█",ROUND(MAX(0,MIN(1,IFERROR($D15/$C15,0)))*10,0))&amp;REPT("░",10-ROUND(MAX(0,MIN(1,IFERROR($D15/$C15,0)))*10,0)))</f>
        <v/>
      </c>
      <c r="I15" s="32">
        <f>IF($B15="","",IFERROR($D15/$C15,0))</f>
        <v/>
      </c>
    </row>
    <row r="16" ht="20" customHeight="1">
      <c r="B16" s="70" t="n"/>
      <c r="C16" s="71" t="n"/>
      <c r="D16" s="71" t="n"/>
      <c r="E16" s="72" t="n"/>
      <c r="F16" s="75">
        <f>IF($E16="","",MAX(1,DATEDIF(TODAY(),$E16,"m")))</f>
        <v/>
      </c>
      <c r="G16" s="76">
        <f>IF($B16="","",MAX(0,$C16-$D16)/IF($F16="",1,$F16))</f>
        <v/>
      </c>
      <c r="H16" s="39">
        <f>IF($B16="","",REPT("█",ROUND(MAX(0,MIN(1,IFERROR($D16/$C16,0)))*10,0))&amp;REPT("░",10-ROUND(MAX(0,MIN(1,IFERROR($D16/$C16,0)))*10,0)))</f>
        <v/>
      </c>
      <c r="I16" s="38">
        <f>IF($B16="","",IFERROR($D16/$C16,0))</f>
        <v/>
      </c>
    </row>
    <row r="17" ht="20" customHeight="1">
      <c r="B17" s="70" t="n"/>
      <c r="C17" s="71" t="n"/>
      <c r="D17" s="71" t="n"/>
      <c r="E17" s="72" t="n"/>
      <c r="F17" s="73">
        <f>IF($E17="","",MAX(1,DATEDIF(TODAY(),$E17,"m")))</f>
        <v/>
      </c>
      <c r="G17" s="74">
        <f>IF($B17="","",MAX(0,$C17-$D17)/IF($F17="",1,$F17))</f>
        <v/>
      </c>
      <c r="H17" s="33">
        <f>IF($B17="","",REPT("█",ROUND(MAX(0,MIN(1,IFERROR($D17/$C17,0)))*10,0))&amp;REPT("░",10-ROUND(MAX(0,MIN(1,IFERROR($D17/$C17,0)))*10,0)))</f>
        <v/>
      </c>
      <c r="I17" s="32">
        <f>IF($B17="","",IFERROR($D17/$C17,0))</f>
        <v/>
      </c>
    </row>
    <row r="18" ht="20" customHeight="1">
      <c r="B18" s="70" t="n"/>
      <c r="C18" s="71" t="n"/>
      <c r="D18" s="71" t="n"/>
      <c r="E18" s="72" t="n"/>
      <c r="F18" s="75">
        <f>IF($E18="","",MAX(1,DATEDIF(TODAY(),$E18,"m")))</f>
        <v/>
      </c>
      <c r="G18" s="76">
        <f>IF($B18="","",MAX(0,$C18-$D18)/IF($F18="",1,$F18))</f>
        <v/>
      </c>
      <c r="H18" s="39">
        <f>IF($B18="","",REPT("█",ROUND(MAX(0,MIN(1,IFERROR($D18/$C18,0)))*10,0))&amp;REPT("░",10-ROUND(MAX(0,MIN(1,IFERROR($D18/$C18,0)))*10,0)))</f>
        <v/>
      </c>
      <c r="I18" s="38">
        <f>IF($B18="","",IFERROR($D18/$C18,0))</f>
        <v/>
      </c>
    </row>
    <row r="19" ht="20" customHeight="1">
      <c r="B19" s="70" t="n"/>
      <c r="C19" s="71" t="n"/>
      <c r="D19" s="71" t="n"/>
      <c r="E19" s="72" t="n"/>
      <c r="F19" s="73">
        <f>IF($E19="","",MAX(1,DATEDIF(TODAY(),$E19,"m")))</f>
        <v/>
      </c>
      <c r="G19" s="74">
        <f>IF($B19="","",MAX(0,$C19-$D19)/IF($F19="",1,$F19))</f>
        <v/>
      </c>
      <c r="H19" s="33">
        <f>IF($B19="","",REPT("█",ROUND(MAX(0,MIN(1,IFERROR($D19/$C19,0)))*10,0))&amp;REPT("░",10-ROUND(MAX(0,MIN(1,IFERROR($D19/$C19,0)))*10,0)))</f>
        <v/>
      </c>
      <c r="I19" s="32">
        <f>IF($B19="","",IFERROR($D19/$C19,0))</f>
        <v/>
      </c>
    </row>
    <row r="20" ht="20" customHeight="1">
      <c r="B20" s="70" t="n"/>
      <c r="C20" s="71" t="n"/>
      <c r="D20" s="71" t="n"/>
      <c r="E20" s="72" t="n"/>
      <c r="F20" s="75">
        <f>IF($E20="","",MAX(1,DATEDIF(TODAY(),$E20,"m")))</f>
        <v/>
      </c>
      <c r="G20" s="76">
        <f>IF($B20="","",MAX(0,$C20-$D20)/IF($F20="",1,$F20))</f>
        <v/>
      </c>
      <c r="H20" s="39">
        <f>IF($B20="","",REPT("█",ROUND(MAX(0,MIN(1,IFERROR($D20/$C20,0)))*10,0))&amp;REPT("░",10-ROUND(MAX(0,MIN(1,IFERROR($D20/$C20,0)))*10,0)))</f>
        <v/>
      </c>
      <c r="I20" s="38">
        <f>IF($B20="","",IFERROR($D20/$C20,0))</f>
        <v/>
      </c>
    </row>
    <row r="22">
      <c r="B22" s="77" t="inlineStr">
        <is>
          <t>💡 Log 'Transfer to savings' rows on the Transactions page, then update SAVED here.</t>
        </is>
      </c>
    </row>
  </sheetData>
  <mergeCells count="3">
    <mergeCell ref="D7:E8"/>
    <mergeCell ref="B7:C8"/>
    <mergeCell ref="F7:G8"/>
  </mergeCells>
  <conditionalFormatting sqref="I13:I20">
    <cfRule type="colorScale" priority="1">
      <colorScale>
        <cfvo type="num" val="0"/>
        <cfvo type="num" val="1"/>
        <color rgb="00FBEAE4"/>
        <color rgb="00EAF1E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9532"/>
    <outlinePr summaryBelow="1" summaryRight="1"/>
    <pageSetUpPr/>
  </sheetPr>
  <dimension ref="B2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2" ht="30" customHeight="1">
      <c r="B2" s="1" t="inlineStr">
        <is>
          <t>📅 Year at a Glance</t>
        </is>
      </c>
    </row>
    <row r="3">
      <c r="B3" s="2" t="inlineStr">
        <is>
          <t>Every category, every month — darker cells mean heavier spending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8" customHeight="1"/>
    <row r="6" ht="22" customHeight="1">
      <c r="B6" s="26" t="inlineStr">
        <is>
          <t>YEAR</t>
        </is>
      </c>
      <c r="C6" s="78" t="n">
        <v>2026</v>
      </c>
    </row>
    <row r="8" ht="22" customHeight="1">
      <c r="B8" s="28" t="inlineStr">
        <is>
          <t>CATEGORY</t>
        </is>
      </c>
      <c r="C8" s="29" t="inlineStr">
        <is>
          <t>JAN</t>
        </is>
      </c>
      <c r="D8" s="29" t="inlineStr">
        <is>
          <t>FEB</t>
        </is>
      </c>
      <c r="E8" s="29" t="inlineStr">
        <is>
          <t>MAR</t>
        </is>
      </c>
      <c r="F8" s="29" t="inlineStr">
        <is>
          <t>APR</t>
        </is>
      </c>
      <c r="G8" s="29" t="inlineStr">
        <is>
          <t>MAY</t>
        </is>
      </c>
      <c r="H8" s="29" t="inlineStr">
        <is>
          <t>JUN</t>
        </is>
      </c>
      <c r="I8" s="29" t="inlineStr">
        <is>
          <t>JUL</t>
        </is>
      </c>
      <c r="J8" s="29" t="inlineStr">
        <is>
          <t>AUG</t>
        </is>
      </c>
      <c r="K8" s="29" t="inlineStr">
        <is>
          <t>SEP</t>
        </is>
      </c>
      <c r="L8" s="29" t="inlineStr">
        <is>
          <t>OCT</t>
        </is>
      </c>
      <c r="M8" s="29" t="inlineStr">
        <is>
          <t>NOV</t>
        </is>
      </c>
      <c r="N8" s="29" t="inlineStr">
        <is>
          <t>DEC</t>
        </is>
      </c>
      <c r="O8" s="29" t="inlineStr">
        <is>
          <t>TOTAL</t>
        </is>
      </c>
    </row>
    <row r="9" ht="17" customHeight="1">
      <c r="B9" s="79" t="inlineStr">
        <is>
          <t>🏠  Housing</t>
        </is>
      </c>
      <c r="C9" s="80">
        <f>SUMIFS('💳 Transactions'!$J$12:$J$5000,'💳 Transactions'!$E$12:$E$5000,"Housing",'💳 Transactions'!$B$12:$B$5000,"&gt;="&amp;DATE('📅 Year'!$C$6,1,1),'💳 Transactions'!$B$12:$B$5000,"&lt;"&amp;DATE('📅 Year'!$C$6,1+1,1))</f>
        <v/>
      </c>
      <c r="D9" s="80">
        <f>SUMIFS('💳 Transactions'!$J$12:$J$5000,'💳 Transactions'!$E$12:$E$5000,"Housing",'💳 Transactions'!$B$12:$B$5000,"&gt;="&amp;DATE('📅 Year'!$C$6,2,1),'💳 Transactions'!$B$12:$B$5000,"&lt;"&amp;DATE('📅 Year'!$C$6,2+1,1))</f>
        <v/>
      </c>
      <c r="E9" s="80">
        <f>SUMIFS('💳 Transactions'!$J$12:$J$5000,'💳 Transactions'!$E$12:$E$5000,"Housing",'💳 Transactions'!$B$12:$B$5000,"&gt;="&amp;DATE('📅 Year'!$C$6,3,1),'💳 Transactions'!$B$12:$B$5000,"&lt;"&amp;DATE('📅 Year'!$C$6,3+1,1))</f>
        <v/>
      </c>
      <c r="F9" s="80">
        <f>SUMIFS('💳 Transactions'!$J$12:$J$5000,'💳 Transactions'!$E$12:$E$5000,"Housing",'💳 Transactions'!$B$12:$B$5000,"&gt;="&amp;DATE('📅 Year'!$C$6,4,1),'💳 Transactions'!$B$12:$B$5000,"&lt;"&amp;DATE('📅 Year'!$C$6,4+1,1))</f>
        <v/>
      </c>
      <c r="G9" s="80">
        <f>SUMIFS('💳 Transactions'!$J$12:$J$5000,'💳 Transactions'!$E$12:$E$5000,"Housing",'💳 Transactions'!$B$12:$B$5000,"&gt;="&amp;DATE('📅 Year'!$C$6,5,1),'💳 Transactions'!$B$12:$B$5000,"&lt;"&amp;DATE('📅 Year'!$C$6,5+1,1))</f>
        <v/>
      </c>
      <c r="H9" s="80">
        <f>SUMIFS('💳 Transactions'!$J$12:$J$5000,'💳 Transactions'!$E$12:$E$5000,"Housing",'💳 Transactions'!$B$12:$B$5000,"&gt;="&amp;DATE('📅 Year'!$C$6,6,1),'💳 Transactions'!$B$12:$B$5000,"&lt;"&amp;DATE('📅 Year'!$C$6,6+1,1))</f>
        <v/>
      </c>
      <c r="I9" s="80">
        <f>SUMIFS('💳 Transactions'!$J$12:$J$5000,'💳 Transactions'!$E$12:$E$5000,"Housing",'💳 Transactions'!$B$12:$B$5000,"&gt;="&amp;DATE('📅 Year'!$C$6,7,1),'💳 Transactions'!$B$12:$B$5000,"&lt;"&amp;DATE('📅 Year'!$C$6,7+1,1))</f>
        <v/>
      </c>
      <c r="J9" s="80">
        <f>SUMIFS('💳 Transactions'!$J$12:$J$5000,'💳 Transactions'!$E$12:$E$5000,"Housing",'💳 Transactions'!$B$12:$B$5000,"&gt;="&amp;DATE('📅 Year'!$C$6,8,1),'💳 Transactions'!$B$12:$B$5000,"&lt;"&amp;DATE('📅 Year'!$C$6,8+1,1))</f>
        <v/>
      </c>
      <c r="K9" s="80">
        <f>SUMIFS('💳 Transactions'!$J$12:$J$5000,'💳 Transactions'!$E$12:$E$5000,"Housing",'💳 Transactions'!$B$12:$B$5000,"&gt;="&amp;DATE('📅 Year'!$C$6,9,1),'💳 Transactions'!$B$12:$B$5000,"&lt;"&amp;DATE('📅 Year'!$C$6,9+1,1))</f>
        <v/>
      </c>
      <c r="L9" s="80">
        <f>SUMIFS('💳 Transactions'!$J$12:$J$5000,'💳 Transactions'!$E$12:$E$5000,"Housing",'💳 Transactions'!$B$12:$B$5000,"&gt;="&amp;DATE('📅 Year'!$C$6,10,1),'💳 Transactions'!$B$12:$B$5000,"&lt;"&amp;DATE('📅 Year'!$C$6,10+1,1))</f>
        <v/>
      </c>
      <c r="M9" s="80">
        <f>SUMIFS('💳 Transactions'!$J$12:$J$5000,'💳 Transactions'!$E$12:$E$5000,"Housing",'💳 Transactions'!$B$12:$B$5000,"&gt;="&amp;DATE('📅 Year'!$C$6,11,1),'💳 Transactions'!$B$12:$B$5000,"&lt;"&amp;DATE('📅 Year'!$C$6,11+1,1))</f>
        <v/>
      </c>
      <c r="N9" s="80">
        <f>SUMIFS('💳 Transactions'!$J$12:$J$5000,'💳 Transactions'!$E$12:$E$5000,"Housing",'💳 Transactions'!$B$12:$B$5000,"&gt;="&amp;DATE('📅 Year'!$C$6,12,1),'💳 Transactions'!$B$12:$B$5000,"&lt;"&amp;DATE('📅 Year'!$C$6,12+1,1))</f>
        <v/>
      </c>
      <c r="O9" s="81">
        <f>SUM(C9:N9)</f>
        <v/>
      </c>
    </row>
    <row r="10" ht="17" customHeight="1">
      <c r="B10" s="79" t="inlineStr">
        <is>
          <t>🍽️  Food</t>
        </is>
      </c>
      <c r="C10" s="80">
        <f>SUMIFS('💳 Transactions'!$J$12:$J$5000,'💳 Transactions'!$E$12:$E$5000,"Food",'💳 Transactions'!$B$12:$B$5000,"&gt;="&amp;DATE('📅 Year'!$C$6,1,1),'💳 Transactions'!$B$12:$B$5000,"&lt;"&amp;DATE('📅 Year'!$C$6,1+1,1))</f>
        <v/>
      </c>
      <c r="D10" s="80">
        <f>SUMIFS('💳 Transactions'!$J$12:$J$5000,'💳 Transactions'!$E$12:$E$5000,"Food",'💳 Transactions'!$B$12:$B$5000,"&gt;="&amp;DATE('📅 Year'!$C$6,2,1),'💳 Transactions'!$B$12:$B$5000,"&lt;"&amp;DATE('📅 Year'!$C$6,2+1,1))</f>
        <v/>
      </c>
      <c r="E10" s="80">
        <f>SUMIFS('💳 Transactions'!$J$12:$J$5000,'💳 Transactions'!$E$12:$E$5000,"Food",'💳 Transactions'!$B$12:$B$5000,"&gt;="&amp;DATE('📅 Year'!$C$6,3,1),'💳 Transactions'!$B$12:$B$5000,"&lt;"&amp;DATE('📅 Year'!$C$6,3+1,1))</f>
        <v/>
      </c>
      <c r="F10" s="80">
        <f>SUMIFS('💳 Transactions'!$J$12:$J$5000,'💳 Transactions'!$E$12:$E$5000,"Food",'💳 Transactions'!$B$12:$B$5000,"&gt;="&amp;DATE('📅 Year'!$C$6,4,1),'💳 Transactions'!$B$12:$B$5000,"&lt;"&amp;DATE('📅 Year'!$C$6,4+1,1))</f>
        <v/>
      </c>
      <c r="G10" s="80">
        <f>SUMIFS('💳 Transactions'!$J$12:$J$5000,'💳 Transactions'!$E$12:$E$5000,"Food",'💳 Transactions'!$B$12:$B$5000,"&gt;="&amp;DATE('📅 Year'!$C$6,5,1),'💳 Transactions'!$B$12:$B$5000,"&lt;"&amp;DATE('📅 Year'!$C$6,5+1,1))</f>
        <v/>
      </c>
      <c r="H10" s="80">
        <f>SUMIFS('💳 Transactions'!$J$12:$J$5000,'💳 Transactions'!$E$12:$E$5000,"Food",'💳 Transactions'!$B$12:$B$5000,"&gt;="&amp;DATE('📅 Year'!$C$6,6,1),'💳 Transactions'!$B$12:$B$5000,"&lt;"&amp;DATE('📅 Year'!$C$6,6+1,1))</f>
        <v/>
      </c>
      <c r="I10" s="80">
        <f>SUMIFS('💳 Transactions'!$J$12:$J$5000,'💳 Transactions'!$E$12:$E$5000,"Food",'💳 Transactions'!$B$12:$B$5000,"&gt;="&amp;DATE('📅 Year'!$C$6,7,1),'💳 Transactions'!$B$12:$B$5000,"&lt;"&amp;DATE('📅 Year'!$C$6,7+1,1))</f>
        <v/>
      </c>
      <c r="J10" s="80">
        <f>SUMIFS('💳 Transactions'!$J$12:$J$5000,'💳 Transactions'!$E$12:$E$5000,"Food",'💳 Transactions'!$B$12:$B$5000,"&gt;="&amp;DATE('📅 Year'!$C$6,8,1),'💳 Transactions'!$B$12:$B$5000,"&lt;"&amp;DATE('📅 Year'!$C$6,8+1,1))</f>
        <v/>
      </c>
      <c r="K10" s="80">
        <f>SUMIFS('💳 Transactions'!$J$12:$J$5000,'💳 Transactions'!$E$12:$E$5000,"Food",'💳 Transactions'!$B$12:$B$5000,"&gt;="&amp;DATE('📅 Year'!$C$6,9,1),'💳 Transactions'!$B$12:$B$5000,"&lt;"&amp;DATE('📅 Year'!$C$6,9+1,1))</f>
        <v/>
      </c>
      <c r="L10" s="80">
        <f>SUMIFS('💳 Transactions'!$J$12:$J$5000,'💳 Transactions'!$E$12:$E$5000,"Food",'💳 Transactions'!$B$12:$B$5000,"&gt;="&amp;DATE('📅 Year'!$C$6,10,1),'💳 Transactions'!$B$12:$B$5000,"&lt;"&amp;DATE('📅 Year'!$C$6,10+1,1))</f>
        <v/>
      </c>
      <c r="M10" s="80">
        <f>SUMIFS('💳 Transactions'!$J$12:$J$5000,'💳 Transactions'!$E$12:$E$5000,"Food",'💳 Transactions'!$B$12:$B$5000,"&gt;="&amp;DATE('📅 Year'!$C$6,11,1),'💳 Transactions'!$B$12:$B$5000,"&lt;"&amp;DATE('📅 Year'!$C$6,11+1,1))</f>
        <v/>
      </c>
      <c r="N10" s="80">
        <f>SUMIFS('💳 Transactions'!$J$12:$J$5000,'💳 Transactions'!$E$12:$E$5000,"Food",'💳 Transactions'!$B$12:$B$5000,"&gt;="&amp;DATE('📅 Year'!$C$6,12,1),'💳 Transactions'!$B$12:$B$5000,"&lt;"&amp;DATE('📅 Year'!$C$6,12+1,1))</f>
        <v/>
      </c>
      <c r="O10" s="81">
        <f>SUM(C10:N10)</f>
        <v/>
      </c>
    </row>
    <row r="11" ht="17" customHeight="1">
      <c r="B11" s="79" t="inlineStr">
        <is>
          <t>🚗  Transportation</t>
        </is>
      </c>
      <c r="C11" s="80">
        <f>SUMIFS('💳 Transactions'!$J$12:$J$5000,'💳 Transactions'!$E$12:$E$5000,"Transportation",'💳 Transactions'!$B$12:$B$5000,"&gt;="&amp;DATE('📅 Year'!$C$6,1,1),'💳 Transactions'!$B$12:$B$5000,"&lt;"&amp;DATE('📅 Year'!$C$6,1+1,1))</f>
        <v/>
      </c>
      <c r="D11" s="80">
        <f>SUMIFS('💳 Transactions'!$J$12:$J$5000,'💳 Transactions'!$E$12:$E$5000,"Transportation",'💳 Transactions'!$B$12:$B$5000,"&gt;="&amp;DATE('📅 Year'!$C$6,2,1),'💳 Transactions'!$B$12:$B$5000,"&lt;"&amp;DATE('📅 Year'!$C$6,2+1,1))</f>
        <v/>
      </c>
      <c r="E11" s="80">
        <f>SUMIFS('💳 Transactions'!$J$12:$J$5000,'💳 Transactions'!$E$12:$E$5000,"Transportation",'💳 Transactions'!$B$12:$B$5000,"&gt;="&amp;DATE('📅 Year'!$C$6,3,1),'💳 Transactions'!$B$12:$B$5000,"&lt;"&amp;DATE('📅 Year'!$C$6,3+1,1))</f>
        <v/>
      </c>
      <c r="F11" s="80">
        <f>SUMIFS('💳 Transactions'!$J$12:$J$5000,'💳 Transactions'!$E$12:$E$5000,"Transportation",'💳 Transactions'!$B$12:$B$5000,"&gt;="&amp;DATE('📅 Year'!$C$6,4,1),'💳 Transactions'!$B$12:$B$5000,"&lt;"&amp;DATE('📅 Year'!$C$6,4+1,1))</f>
        <v/>
      </c>
      <c r="G11" s="80">
        <f>SUMIFS('💳 Transactions'!$J$12:$J$5000,'💳 Transactions'!$E$12:$E$5000,"Transportation",'💳 Transactions'!$B$12:$B$5000,"&gt;="&amp;DATE('📅 Year'!$C$6,5,1),'💳 Transactions'!$B$12:$B$5000,"&lt;"&amp;DATE('📅 Year'!$C$6,5+1,1))</f>
        <v/>
      </c>
      <c r="H11" s="80">
        <f>SUMIFS('💳 Transactions'!$J$12:$J$5000,'💳 Transactions'!$E$12:$E$5000,"Transportation",'💳 Transactions'!$B$12:$B$5000,"&gt;="&amp;DATE('📅 Year'!$C$6,6,1),'💳 Transactions'!$B$12:$B$5000,"&lt;"&amp;DATE('📅 Year'!$C$6,6+1,1))</f>
        <v/>
      </c>
      <c r="I11" s="80">
        <f>SUMIFS('💳 Transactions'!$J$12:$J$5000,'💳 Transactions'!$E$12:$E$5000,"Transportation",'💳 Transactions'!$B$12:$B$5000,"&gt;="&amp;DATE('📅 Year'!$C$6,7,1),'💳 Transactions'!$B$12:$B$5000,"&lt;"&amp;DATE('📅 Year'!$C$6,7+1,1))</f>
        <v/>
      </c>
      <c r="J11" s="80">
        <f>SUMIFS('💳 Transactions'!$J$12:$J$5000,'💳 Transactions'!$E$12:$E$5000,"Transportation",'💳 Transactions'!$B$12:$B$5000,"&gt;="&amp;DATE('📅 Year'!$C$6,8,1),'💳 Transactions'!$B$12:$B$5000,"&lt;"&amp;DATE('📅 Year'!$C$6,8+1,1))</f>
        <v/>
      </c>
      <c r="K11" s="80">
        <f>SUMIFS('💳 Transactions'!$J$12:$J$5000,'💳 Transactions'!$E$12:$E$5000,"Transportation",'💳 Transactions'!$B$12:$B$5000,"&gt;="&amp;DATE('📅 Year'!$C$6,9,1),'💳 Transactions'!$B$12:$B$5000,"&lt;"&amp;DATE('📅 Year'!$C$6,9+1,1))</f>
        <v/>
      </c>
      <c r="L11" s="80">
        <f>SUMIFS('💳 Transactions'!$J$12:$J$5000,'💳 Transactions'!$E$12:$E$5000,"Transportation",'💳 Transactions'!$B$12:$B$5000,"&gt;="&amp;DATE('📅 Year'!$C$6,10,1),'💳 Transactions'!$B$12:$B$5000,"&lt;"&amp;DATE('📅 Year'!$C$6,10+1,1))</f>
        <v/>
      </c>
      <c r="M11" s="80">
        <f>SUMIFS('💳 Transactions'!$J$12:$J$5000,'💳 Transactions'!$E$12:$E$5000,"Transportation",'💳 Transactions'!$B$12:$B$5000,"&gt;="&amp;DATE('📅 Year'!$C$6,11,1),'💳 Transactions'!$B$12:$B$5000,"&lt;"&amp;DATE('📅 Year'!$C$6,11+1,1))</f>
        <v/>
      </c>
      <c r="N11" s="80">
        <f>SUMIFS('💳 Transactions'!$J$12:$J$5000,'💳 Transactions'!$E$12:$E$5000,"Transportation",'💳 Transactions'!$B$12:$B$5000,"&gt;="&amp;DATE('📅 Year'!$C$6,12,1),'💳 Transactions'!$B$12:$B$5000,"&lt;"&amp;DATE('📅 Year'!$C$6,12+1,1))</f>
        <v/>
      </c>
      <c r="O11" s="81">
        <f>SUM(C11:N11)</f>
        <v/>
      </c>
    </row>
    <row r="12" ht="17" customHeight="1">
      <c r="B12" s="79" t="inlineStr">
        <is>
          <t>🛍️  Shopping</t>
        </is>
      </c>
      <c r="C12" s="80">
        <f>SUMIFS('💳 Transactions'!$J$12:$J$5000,'💳 Transactions'!$E$12:$E$5000,"Shopping",'💳 Transactions'!$B$12:$B$5000,"&gt;="&amp;DATE('📅 Year'!$C$6,1,1),'💳 Transactions'!$B$12:$B$5000,"&lt;"&amp;DATE('📅 Year'!$C$6,1+1,1))</f>
        <v/>
      </c>
      <c r="D12" s="80">
        <f>SUMIFS('💳 Transactions'!$J$12:$J$5000,'💳 Transactions'!$E$12:$E$5000,"Shopping",'💳 Transactions'!$B$12:$B$5000,"&gt;="&amp;DATE('📅 Year'!$C$6,2,1),'💳 Transactions'!$B$12:$B$5000,"&lt;"&amp;DATE('📅 Year'!$C$6,2+1,1))</f>
        <v/>
      </c>
      <c r="E12" s="80">
        <f>SUMIFS('💳 Transactions'!$J$12:$J$5000,'💳 Transactions'!$E$12:$E$5000,"Shopping",'💳 Transactions'!$B$12:$B$5000,"&gt;="&amp;DATE('📅 Year'!$C$6,3,1),'💳 Transactions'!$B$12:$B$5000,"&lt;"&amp;DATE('📅 Year'!$C$6,3+1,1))</f>
        <v/>
      </c>
      <c r="F12" s="80">
        <f>SUMIFS('💳 Transactions'!$J$12:$J$5000,'💳 Transactions'!$E$12:$E$5000,"Shopping",'💳 Transactions'!$B$12:$B$5000,"&gt;="&amp;DATE('📅 Year'!$C$6,4,1),'💳 Transactions'!$B$12:$B$5000,"&lt;"&amp;DATE('📅 Year'!$C$6,4+1,1))</f>
        <v/>
      </c>
      <c r="G12" s="80">
        <f>SUMIFS('💳 Transactions'!$J$12:$J$5000,'💳 Transactions'!$E$12:$E$5000,"Shopping",'💳 Transactions'!$B$12:$B$5000,"&gt;="&amp;DATE('📅 Year'!$C$6,5,1),'💳 Transactions'!$B$12:$B$5000,"&lt;"&amp;DATE('📅 Year'!$C$6,5+1,1))</f>
        <v/>
      </c>
      <c r="H12" s="80">
        <f>SUMIFS('💳 Transactions'!$J$12:$J$5000,'💳 Transactions'!$E$12:$E$5000,"Shopping",'💳 Transactions'!$B$12:$B$5000,"&gt;="&amp;DATE('📅 Year'!$C$6,6,1),'💳 Transactions'!$B$12:$B$5000,"&lt;"&amp;DATE('📅 Year'!$C$6,6+1,1))</f>
        <v/>
      </c>
      <c r="I12" s="80">
        <f>SUMIFS('💳 Transactions'!$J$12:$J$5000,'💳 Transactions'!$E$12:$E$5000,"Shopping",'💳 Transactions'!$B$12:$B$5000,"&gt;="&amp;DATE('📅 Year'!$C$6,7,1),'💳 Transactions'!$B$12:$B$5000,"&lt;"&amp;DATE('📅 Year'!$C$6,7+1,1))</f>
        <v/>
      </c>
      <c r="J12" s="80">
        <f>SUMIFS('💳 Transactions'!$J$12:$J$5000,'💳 Transactions'!$E$12:$E$5000,"Shopping",'💳 Transactions'!$B$12:$B$5000,"&gt;="&amp;DATE('📅 Year'!$C$6,8,1),'💳 Transactions'!$B$12:$B$5000,"&lt;"&amp;DATE('📅 Year'!$C$6,8+1,1))</f>
        <v/>
      </c>
      <c r="K12" s="80">
        <f>SUMIFS('💳 Transactions'!$J$12:$J$5000,'💳 Transactions'!$E$12:$E$5000,"Shopping",'💳 Transactions'!$B$12:$B$5000,"&gt;="&amp;DATE('📅 Year'!$C$6,9,1),'💳 Transactions'!$B$12:$B$5000,"&lt;"&amp;DATE('📅 Year'!$C$6,9+1,1))</f>
        <v/>
      </c>
      <c r="L12" s="80">
        <f>SUMIFS('💳 Transactions'!$J$12:$J$5000,'💳 Transactions'!$E$12:$E$5000,"Shopping",'💳 Transactions'!$B$12:$B$5000,"&gt;="&amp;DATE('📅 Year'!$C$6,10,1),'💳 Transactions'!$B$12:$B$5000,"&lt;"&amp;DATE('📅 Year'!$C$6,10+1,1))</f>
        <v/>
      </c>
      <c r="M12" s="80">
        <f>SUMIFS('💳 Transactions'!$J$12:$J$5000,'💳 Transactions'!$E$12:$E$5000,"Shopping",'💳 Transactions'!$B$12:$B$5000,"&gt;="&amp;DATE('📅 Year'!$C$6,11,1),'💳 Transactions'!$B$12:$B$5000,"&lt;"&amp;DATE('📅 Year'!$C$6,11+1,1))</f>
        <v/>
      </c>
      <c r="N12" s="80">
        <f>SUMIFS('💳 Transactions'!$J$12:$J$5000,'💳 Transactions'!$E$12:$E$5000,"Shopping",'💳 Transactions'!$B$12:$B$5000,"&gt;="&amp;DATE('📅 Year'!$C$6,12,1),'💳 Transactions'!$B$12:$B$5000,"&lt;"&amp;DATE('📅 Year'!$C$6,12+1,1))</f>
        <v/>
      </c>
      <c r="O12" s="81">
        <f>SUM(C12:N12)</f>
        <v/>
      </c>
    </row>
    <row r="13" ht="17" customHeight="1">
      <c r="B13" s="79" t="inlineStr">
        <is>
          <t>🎬  Entertainment</t>
        </is>
      </c>
      <c r="C13" s="80">
        <f>SUMIFS('💳 Transactions'!$J$12:$J$5000,'💳 Transactions'!$E$12:$E$5000,"Entertainment",'💳 Transactions'!$B$12:$B$5000,"&gt;="&amp;DATE('📅 Year'!$C$6,1,1),'💳 Transactions'!$B$12:$B$5000,"&lt;"&amp;DATE('📅 Year'!$C$6,1+1,1))</f>
        <v/>
      </c>
      <c r="D13" s="80">
        <f>SUMIFS('💳 Transactions'!$J$12:$J$5000,'💳 Transactions'!$E$12:$E$5000,"Entertainment",'💳 Transactions'!$B$12:$B$5000,"&gt;="&amp;DATE('📅 Year'!$C$6,2,1),'💳 Transactions'!$B$12:$B$5000,"&lt;"&amp;DATE('📅 Year'!$C$6,2+1,1))</f>
        <v/>
      </c>
      <c r="E13" s="80">
        <f>SUMIFS('💳 Transactions'!$J$12:$J$5000,'💳 Transactions'!$E$12:$E$5000,"Entertainment",'💳 Transactions'!$B$12:$B$5000,"&gt;="&amp;DATE('📅 Year'!$C$6,3,1),'💳 Transactions'!$B$12:$B$5000,"&lt;"&amp;DATE('📅 Year'!$C$6,3+1,1))</f>
        <v/>
      </c>
      <c r="F13" s="80">
        <f>SUMIFS('💳 Transactions'!$J$12:$J$5000,'💳 Transactions'!$E$12:$E$5000,"Entertainment",'💳 Transactions'!$B$12:$B$5000,"&gt;="&amp;DATE('📅 Year'!$C$6,4,1),'💳 Transactions'!$B$12:$B$5000,"&lt;"&amp;DATE('📅 Year'!$C$6,4+1,1))</f>
        <v/>
      </c>
      <c r="G13" s="80">
        <f>SUMIFS('💳 Transactions'!$J$12:$J$5000,'💳 Transactions'!$E$12:$E$5000,"Entertainment",'💳 Transactions'!$B$12:$B$5000,"&gt;="&amp;DATE('📅 Year'!$C$6,5,1),'💳 Transactions'!$B$12:$B$5000,"&lt;"&amp;DATE('📅 Year'!$C$6,5+1,1))</f>
        <v/>
      </c>
      <c r="H13" s="80">
        <f>SUMIFS('💳 Transactions'!$J$12:$J$5000,'💳 Transactions'!$E$12:$E$5000,"Entertainment",'💳 Transactions'!$B$12:$B$5000,"&gt;="&amp;DATE('📅 Year'!$C$6,6,1),'💳 Transactions'!$B$12:$B$5000,"&lt;"&amp;DATE('📅 Year'!$C$6,6+1,1))</f>
        <v/>
      </c>
      <c r="I13" s="80">
        <f>SUMIFS('💳 Transactions'!$J$12:$J$5000,'💳 Transactions'!$E$12:$E$5000,"Entertainment",'💳 Transactions'!$B$12:$B$5000,"&gt;="&amp;DATE('📅 Year'!$C$6,7,1),'💳 Transactions'!$B$12:$B$5000,"&lt;"&amp;DATE('📅 Year'!$C$6,7+1,1))</f>
        <v/>
      </c>
      <c r="J13" s="80">
        <f>SUMIFS('💳 Transactions'!$J$12:$J$5000,'💳 Transactions'!$E$12:$E$5000,"Entertainment",'💳 Transactions'!$B$12:$B$5000,"&gt;="&amp;DATE('📅 Year'!$C$6,8,1),'💳 Transactions'!$B$12:$B$5000,"&lt;"&amp;DATE('📅 Year'!$C$6,8+1,1))</f>
        <v/>
      </c>
      <c r="K13" s="80">
        <f>SUMIFS('💳 Transactions'!$J$12:$J$5000,'💳 Transactions'!$E$12:$E$5000,"Entertainment",'💳 Transactions'!$B$12:$B$5000,"&gt;="&amp;DATE('📅 Year'!$C$6,9,1),'💳 Transactions'!$B$12:$B$5000,"&lt;"&amp;DATE('📅 Year'!$C$6,9+1,1))</f>
        <v/>
      </c>
      <c r="L13" s="80">
        <f>SUMIFS('💳 Transactions'!$J$12:$J$5000,'💳 Transactions'!$E$12:$E$5000,"Entertainment",'💳 Transactions'!$B$12:$B$5000,"&gt;="&amp;DATE('📅 Year'!$C$6,10,1),'💳 Transactions'!$B$12:$B$5000,"&lt;"&amp;DATE('📅 Year'!$C$6,10+1,1))</f>
        <v/>
      </c>
      <c r="M13" s="80">
        <f>SUMIFS('💳 Transactions'!$J$12:$J$5000,'💳 Transactions'!$E$12:$E$5000,"Entertainment",'💳 Transactions'!$B$12:$B$5000,"&gt;="&amp;DATE('📅 Year'!$C$6,11,1),'💳 Transactions'!$B$12:$B$5000,"&lt;"&amp;DATE('📅 Year'!$C$6,11+1,1))</f>
        <v/>
      </c>
      <c r="N13" s="80">
        <f>SUMIFS('💳 Transactions'!$J$12:$J$5000,'💳 Transactions'!$E$12:$E$5000,"Entertainment",'💳 Transactions'!$B$12:$B$5000,"&gt;="&amp;DATE('📅 Year'!$C$6,12,1),'💳 Transactions'!$B$12:$B$5000,"&lt;"&amp;DATE('📅 Year'!$C$6,12+1,1))</f>
        <v/>
      </c>
      <c r="O13" s="81">
        <f>SUM(C13:N13)</f>
        <v/>
      </c>
    </row>
    <row r="14" ht="17" customHeight="1">
      <c r="B14" s="79" t="inlineStr">
        <is>
          <t>🩺  Health</t>
        </is>
      </c>
      <c r="C14" s="80">
        <f>SUMIFS('💳 Transactions'!$J$12:$J$5000,'💳 Transactions'!$E$12:$E$5000,"Health",'💳 Transactions'!$B$12:$B$5000,"&gt;="&amp;DATE('📅 Year'!$C$6,1,1),'💳 Transactions'!$B$12:$B$5000,"&lt;"&amp;DATE('📅 Year'!$C$6,1+1,1))</f>
        <v/>
      </c>
      <c r="D14" s="80">
        <f>SUMIFS('💳 Transactions'!$J$12:$J$5000,'💳 Transactions'!$E$12:$E$5000,"Health",'💳 Transactions'!$B$12:$B$5000,"&gt;="&amp;DATE('📅 Year'!$C$6,2,1),'💳 Transactions'!$B$12:$B$5000,"&lt;"&amp;DATE('📅 Year'!$C$6,2+1,1))</f>
        <v/>
      </c>
      <c r="E14" s="80">
        <f>SUMIFS('💳 Transactions'!$J$12:$J$5000,'💳 Transactions'!$E$12:$E$5000,"Health",'💳 Transactions'!$B$12:$B$5000,"&gt;="&amp;DATE('📅 Year'!$C$6,3,1),'💳 Transactions'!$B$12:$B$5000,"&lt;"&amp;DATE('📅 Year'!$C$6,3+1,1))</f>
        <v/>
      </c>
      <c r="F14" s="80">
        <f>SUMIFS('💳 Transactions'!$J$12:$J$5000,'💳 Transactions'!$E$12:$E$5000,"Health",'💳 Transactions'!$B$12:$B$5000,"&gt;="&amp;DATE('📅 Year'!$C$6,4,1),'💳 Transactions'!$B$12:$B$5000,"&lt;"&amp;DATE('📅 Year'!$C$6,4+1,1))</f>
        <v/>
      </c>
      <c r="G14" s="80">
        <f>SUMIFS('💳 Transactions'!$J$12:$J$5000,'💳 Transactions'!$E$12:$E$5000,"Health",'💳 Transactions'!$B$12:$B$5000,"&gt;="&amp;DATE('📅 Year'!$C$6,5,1),'💳 Transactions'!$B$12:$B$5000,"&lt;"&amp;DATE('📅 Year'!$C$6,5+1,1))</f>
        <v/>
      </c>
      <c r="H14" s="80">
        <f>SUMIFS('💳 Transactions'!$J$12:$J$5000,'💳 Transactions'!$E$12:$E$5000,"Health",'💳 Transactions'!$B$12:$B$5000,"&gt;="&amp;DATE('📅 Year'!$C$6,6,1),'💳 Transactions'!$B$12:$B$5000,"&lt;"&amp;DATE('📅 Year'!$C$6,6+1,1))</f>
        <v/>
      </c>
      <c r="I14" s="80">
        <f>SUMIFS('💳 Transactions'!$J$12:$J$5000,'💳 Transactions'!$E$12:$E$5000,"Health",'💳 Transactions'!$B$12:$B$5000,"&gt;="&amp;DATE('📅 Year'!$C$6,7,1),'💳 Transactions'!$B$12:$B$5000,"&lt;"&amp;DATE('📅 Year'!$C$6,7+1,1))</f>
        <v/>
      </c>
      <c r="J14" s="80">
        <f>SUMIFS('💳 Transactions'!$J$12:$J$5000,'💳 Transactions'!$E$12:$E$5000,"Health",'💳 Transactions'!$B$12:$B$5000,"&gt;="&amp;DATE('📅 Year'!$C$6,8,1),'💳 Transactions'!$B$12:$B$5000,"&lt;"&amp;DATE('📅 Year'!$C$6,8+1,1))</f>
        <v/>
      </c>
      <c r="K14" s="80">
        <f>SUMIFS('💳 Transactions'!$J$12:$J$5000,'💳 Transactions'!$E$12:$E$5000,"Health",'💳 Transactions'!$B$12:$B$5000,"&gt;="&amp;DATE('📅 Year'!$C$6,9,1),'💳 Transactions'!$B$12:$B$5000,"&lt;"&amp;DATE('📅 Year'!$C$6,9+1,1))</f>
        <v/>
      </c>
      <c r="L14" s="80">
        <f>SUMIFS('💳 Transactions'!$J$12:$J$5000,'💳 Transactions'!$E$12:$E$5000,"Health",'💳 Transactions'!$B$12:$B$5000,"&gt;="&amp;DATE('📅 Year'!$C$6,10,1),'💳 Transactions'!$B$12:$B$5000,"&lt;"&amp;DATE('📅 Year'!$C$6,10+1,1))</f>
        <v/>
      </c>
      <c r="M14" s="80">
        <f>SUMIFS('💳 Transactions'!$J$12:$J$5000,'💳 Transactions'!$E$12:$E$5000,"Health",'💳 Transactions'!$B$12:$B$5000,"&gt;="&amp;DATE('📅 Year'!$C$6,11,1),'💳 Transactions'!$B$12:$B$5000,"&lt;"&amp;DATE('📅 Year'!$C$6,11+1,1))</f>
        <v/>
      </c>
      <c r="N14" s="80">
        <f>SUMIFS('💳 Transactions'!$J$12:$J$5000,'💳 Transactions'!$E$12:$E$5000,"Health",'💳 Transactions'!$B$12:$B$5000,"&gt;="&amp;DATE('📅 Year'!$C$6,12,1),'💳 Transactions'!$B$12:$B$5000,"&lt;"&amp;DATE('📅 Year'!$C$6,12+1,1))</f>
        <v/>
      </c>
      <c r="O14" s="81">
        <f>SUM(C14:N14)</f>
        <v/>
      </c>
    </row>
    <row r="15" ht="17" customHeight="1">
      <c r="B15" s="79" t="inlineStr">
        <is>
          <t>🛡️  Insurance</t>
        </is>
      </c>
      <c r="C15" s="80">
        <f>SUMIFS('💳 Transactions'!$J$12:$J$5000,'💳 Transactions'!$E$12:$E$5000,"Insurance",'💳 Transactions'!$B$12:$B$5000,"&gt;="&amp;DATE('📅 Year'!$C$6,1,1),'💳 Transactions'!$B$12:$B$5000,"&lt;"&amp;DATE('📅 Year'!$C$6,1+1,1))</f>
        <v/>
      </c>
      <c r="D15" s="80">
        <f>SUMIFS('💳 Transactions'!$J$12:$J$5000,'💳 Transactions'!$E$12:$E$5000,"Insurance",'💳 Transactions'!$B$12:$B$5000,"&gt;="&amp;DATE('📅 Year'!$C$6,2,1),'💳 Transactions'!$B$12:$B$5000,"&lt;"&amp;DATE('📅 Year'!$C$6,2+1,1))</f>
        <v/>
      </c>
      <c r="E15" s="80">
        <f>SUMIFS('💳 Transactions'!$J$12:$J$5000,'💳 Transactions'!$E$12:$E$5000,"Insurance",'💳 Transactions'!$B$12:$B$5000,"&gt;="&amp;DATE('📅 Year'!$C$6,3,1),'💳 Transactions'!$B$12:$B$5000,"&lt;"&amp;DATE('📅 Year'!$C$6,3+1,1))</f>
        <v/>
      </c>
      <c r="F15" s="80">
        <f>SUMIFS('💳 Transactions'!$J$12:$J$5000,'💳 Transactions'!$E$12:$E$5000,"Insurance",'💳 Transactions'!$B$12:$B$5000,"&gt;="&amp;DATE('📅 Year'!$C$6,4,1),'💳 Transactions'!$B$12:$B$5000,"&lt;"&amp;DATE('📅 Year'!$C$6,4+1,1))</f>
        <v/>
      </c>
      <c r="G15" s="80">
        <f>SUMIFS('💳 Transactions'!$J$12:$J$5000,'💳 Transactions'!$E$12:$E$5000,"Insurance",'💳 Transactions'!$B$12:$B$5000,"&gt;="&amp;DATE('📅 Year'!$C$6,5,1),'💳 Transactions'!$B$12:$B$5000,"&lt;"&amp;DATE('📅 Year'!$C$6,5+1,1))</f>
        <v/>
      </c>
      <c r="H15" s="80">
        <f>SUMIFS('💳 Transactions'!$J$12:$J$5000,'💳 Transactions'!$E$12:$E$5000,"Insurance",'💳 Transactions'!$B$12:$B$5000,"&gt;="&amp;DATE('📅 Year'!$C$6,6,1),'💳 Transactions'!$B$12:$B$5000,"&lt;"&amp;DATE('📅 Year'!$C$6,6+1,1))</f>
        <v/>
      </c>
      <c r="I15" s="80">
        <f>SUMIFS('💳 Transactions'!$J$12:$J$5000,'💳 Transactions'!$E$12:$E$5000,"Insurance",'💳 Transactions'!$B$12:$B$5000,"&gt;="&amp;DATE('📅 Year'!$C$6,7,1),'💳 Transactions'!$B$12:$B$5000,"&lt;"&amp;DATE('📅 Year'!$C$6,7+1,1))</f>
        <v/>
      </c>
      <c r="J15" s="80">
        <f>SUMIFS('💳 Transactions'!$J$12:$J$5000,'💳 Transactions'!$E$12:$E$5000,"Insurance",'💳 Transactions'!$B$12:$B$5000,"&gt;="&amp;DATE('📅 Year'!$C$6,8,1),'💳 Transactions'!$B$12:$B$5000,"&lt;"&amp;DATE('📅 Year'!$C$6,8+1,1))</f>
        <v/>
      </c>
      <c r="K15" s="80">
        <f>SUMIFS('💳 Transactions'!$J$12:$J$5000,'💳 Transactions'!$E$12:$E$5000,"Insurance",'💳 Transactions'!$B$12:$B$5000,"&gt;="&amp;DATE('📅 Year'!$C$6,9,1),'💳 Transactions'!$B$12:$B$5000,"&lt;"&amp;DATE('📅 Year'!$C$6,9+1,1))</f>
        <v/>
      </c>
      <c r="L15" s="80">
        <f>SUMIFS('💳 Transactions'!$J$12:$J$5000,'💳 Transactions'!$E$12:$E$5000,"Insurance",'💳 Transactions'!$B$12:$B$5000,"&gt;="&amp;DATE('📅 Year'!$C$6,10,1),'💳 Transactions'!$B$12:$B$5000,"&lt;"&amp;DATE('📅 Year'!$C$6,10+1,1))</f>
        <v/>
      </c>
      <c r="M15" s="80">
        <f>SUMIFS('💳 Transactions'!$J$12:$J$5000,'💳 Transactions'!$E$12:$E$5000,"Insurance",'💳 Transactions'!$B$12:$B$5000,"&gt;="&amp;DATE('📅 Year'!$C$6,11,1),'💳 Transactions'!$B$12:$B$5000,"&lt;"&amp;DATE('📅 Year'!$C$6,11+1,1))</f>
        <v/>
      </c>
      <c r="N15" s="80">
        <f>SUMIFS('💳 Transactions'!$J$12:$J$5000,'💳 Transactions'!$E$12:$E$5000,"Insurance",'💳 Transactions'!$B$12:$B$5000,"&gt;="&amp;DATE('📅 Year'!$C$6,12,1),'💳 Transactions'!$B$12:$B$5000,"&lt;"&amp;DATE('📅 Year'!$C$6,12+1,1))</f>
        <v/>
      </c>
      <c r="O15" s="81">
        <f>SUM(C15:N15)</f>
        <v/>
      </c>
    </row>
    <row r="16" ht="17" customHeight="1">
      <c r="B16" s="79" t="inlineStr">
        <is>
          <t>✈️  Travel</t>
        </is>
      </c>
      <c r="C16" s="80">
        <f>SUMIFS('💳 Transactions'!$J$12:$J$5000,'💳 Transactions'!$E$12:$E$5000,"Travel",'💳 Transactions'!$B$12:$B$5000,"&gt;="&amp;DATE('📅 Year'!$C$6,1,1),'💳 Transactions'!$B$12:$B$5000,"&lt;"&amp;DATE('📅 Year'!$C$6,1+1,1))</f>
        <v/>
      </c>
      <c r="D16" s="80">
        <f>SUMIFS('💳 Transactions'!$J$12:$J$5000,'💳 Transactions'!$E$12:$E$5000,"Travel",'💳 Transactions'!$B$12:$B$5000,"&gt;="&amp;DATE('📅 Year'!$C$6,2,1),'💳 Transactions'!$B$12:$B$5000,"&lt;"&amp;DATE('📅 Year'!$C$6,2+1,1))</f>
        <v/>
      </c>
      <c r="E16" s="80">
        <f>SUMIFS('💳 Transactions'!$J$12:$J$5000,'💳 Transactions'!$E$12:$E$5000,"Travel",'💳 Transactions'!$B$12:$B$5000,"&gt;="&amp;DATE('📅 Year'!$C$6,3,1),'💳 Transactions'!$B$12:$B$5000,"&lt;"&amp;DATE('📅 Year'!$C$6,3+1,1))</f>
        <v/>
      </c>
      <c r="F16" s="80">
        <f>SUMIFS('💳 Transactions'!$J$12:$J$5000,'💳 Transactions'!$E$12:$E$5000,"Travel",'💳 Transactions'!$B$12:$B$5000,"&gt;="&amp;DATE('📅 Year'!$C$6,4,1),'💳 Transactions'!$B$12:$B$5000,"&lt;"&amp;DATE('📅 Year'!$C$6,4+1,1))</f>
        <v/>
      </c>
      <c r="G16" s="80">
        <f>SUMIFS('💳 Transactions'!$J$12:$J$5000,'💳 Transactions'!$E$12:$E$5000,"Travel",'💳 Transactions'!$B$12:$B$5000,"&gt;="&amp;DATE('📅 Year'!$C$6,5,1),'💳 Transactions'!$B$12:$B$5000,"&lt;"&amp;DATE('📅 Year'!$C$6,5+1,1))</f>
        <v/>
      </c>
      <c r="H16" s="80">
        <f>SUMIFS('💳 Transactions'!$J$12:$J$5000,'💳 Transactions'!$E$12:$E$5000,"Travel",'💳 Transactions'!$B$12:$B$5000,"&gt;="&amp;DATE('📅 Year'!$C$6,6,1),'💳 Transactions'!$B$12:$B$5000,"&lt;"&amp;DATE('📅 Year'!$C$6,6+1,1))</f>
        <v/>
      </c>
      <c r="I16" s="80">
        <f>SUMIFS('💳 Transactions'!$J$12:$J$5000,'💳 Transactions'!$E$12:$E$5000,"Travel",'💳 Transactions'!$B$12:$B$5000,"&gt;="&amp;DATE('📅 Year'!$C$6,7,1),'💳 Transactions'!$B$12:$B$5000,"&lt;"&amp;DATE('📅 Year'!$C$6,7+1,1))</f>
        <v/>
      </c>
      <c r="J16" s="80">
        <f>SUMIFS('💳 Transactions'!$J$12:$J$5000,'💳 Transactions'!$E$12:$E$5000,"Travel",'💳 Transactions'!$B$12:$B$5000,"&gt;="&amp;DATE('📅 Year'!$C$6,8,1),'💳 Transactions'!$B$12:$B$5000,"&lt;"&amp;DATE('📅 Year'!$C$6,8+1,1))</f>
        <v/>
      </c>
      <c r="K16" s="80">
        <f>SUMIFS('💳 Transactions'!$J$12:$J$5000,'💳 Transactions'!$E$12:$E$5000,"Travel",'💳 Transactions'!$B$12:$B$5000,"&gt;="&amp;DATE('📅 Year'!$C$6,9,1),'💳 Transactions'!$B$12:$B$5000,"&lt;"&amp;DATE('📅 Year'!$C$6,9+1,1))</f>
        <v/>
      </c>
      <c r="L16" s="80">
        <f>SUMIFS('💳 Transactions'!$J$12:$J$5000,'💳 Transactions'!$E$12:$E$5000,"Travel",'💳 Transactions'!$B$12:$B$5000,"&gt;="&amp;DATE('📅 Year'!$C$6,10,1),'💳 Transactions'!$B$12:$B$5000,"&lt;"&amp;DATE('📅 Year'!$C$6,10+1,1))</f>
        <v/>
      </c>
      <c r="M16" s="80">
        <f>SUMIFS('💳 Transactions'!$J$12:$J$5000,'💳 Transactions'!$E$12:$E$5000,"Travel",'💳 Transactions'!$B$12:$B$5000,"&gt;="&amp;DATE('📅 Year'!$C$6,11,1),'💳 Transactions'!$B$12:$B$5000,"&lt;"&amp;DATE('📅 Year'!$C$6,11+1,1))</f>
        <v/>
      </c>
      <c r="N16" s="80">
        <f>SUMIFS('💳 Transactions'!$J$12:$J$5000,'💳 Transactions'!$E$12:$E$5000,"Travel",'💳 Transactions'!$B$12:$B$5000,"&gt;="&amp;DATE('📅 Year'!$C$6,12,1),'💳 Transactions'!$B$12:$B$5000,"&lt;"&amp;DATE('📅 Year'!$C$6,12+1,1))</f>
        <v/>
      </c>
      <c r="O16" s="81">
        <f>SUM(C16:N16)</f>
        <v/>
      </c>
    </row>
    <row r="17" ht="17" customHeight="1">
      <c r="B17" s="79" t="inlineStr">
        <is>
          <t>🎓  Education</t>
        </is>
      </c>
      <c r="C17" s="80">
        <f>SUMIFS('💳 Transactions'!$J$12:$J$5000,'💳 Transactions'!$E$12:$E$5000,"Education",'💳 Transactions'!$B$12:$B$5000,"&gt;="&amp;DATE('📅 Year'!$C$6,1,1),'💳 Transactions'!$B$12:$B$5000,"&lt;"&amp;DATE('📅 Year'!$C$6,1+1,1))</f>
        <v/>
      </c>
      <c r="D17" s="80">
        <f>SUMIFS('💳 Transactions'!$J$12:$J$5000,'💳 Transactions'!$E$12:$E$5000,"Education",'💳 Transactions'!$B$12:$B$5000,"&gt;="&amp;DATE('📅 Year'!$C$6,2,1),'💳 Transactions'!$B$12:$B$5000,"&lt;"&amp;DATE('📅 Year'!$C$6,2+1,1))</f>
        <v/>
      </c>
      <c r="E17" s="80">
        <f>SUMIFS('💳 Transactions'!$J$12:$J$5000,'💳 Transactions'!$E$12:$E$5000,"Education",'💳 Transactions'!$B$12:$B$5000,"&gt;="&amp;DATE('📅 Year'!$C$6,3,1),'💳 Transactions'!$B$12:$B$5000,"&lt;"&amp;DATE('📅 Year'!$C$6,3+1,1))</f>
        <v/>
      </c>
      <c r="F17" s="80">
        <f>SUMIFS('💳 Transactions'!$J$12:$J$5000,'💳 Transactions'!$E$12:$E$5000,"Education",'💳 Transactions'!$B$12:$B$5000,"&gt;="&amp;DATE('📅 Year'!$C$6,4,1),'💳 Transactions'!$B$12:$B$5000,"&lt;"&amp;DATE('📅 Year'!$C$6,4+1,1))</f>
        <v/>
      </c>
      <c r="G17" s="80">
        <f>SUMIFS('💳 Transactions'!$J$12:$J$5000,'💳 Transactions'!$E$12:$E$5000,"Education",'💳 Transactions'!$B$12:$B$5000,"&gt;="&amp;DATE('📅 Year'!$C$6,5,1),'💳 Transactions'!$B$12:$B$5000,"&lt;"&amp;DATE('📅 Year'!$C$6,5+1,1))</f>
        <v/>
      </c>
      <c r="H17" s="80">
        <f>SUMIFS('💳 Transactions'!$J$12:$J$5000,'💳 Transactions'!$E$12:$E$5000,"Education",'💳 Transactions'!$B$12:$B$5000,"&gt;="&amp;DATE('📅 Year'!$C$6,6,1),'💳 Transactions'!$B$12:$B$5000,"&lt;"&amp;DATE('📅 Year'!$C$6,6+1,1))</f>
        <v/>
      </c>
      <c r="I17" s="80">
        <f>SUMIFS('💳 Transactions'!$J$12:$J$5000,'💳 Transactions'!$E$12:$E$5000,"Education",'💳 Transactions'!$B$12:$B$5000,"&gt;="&amp;DATE('📅 Year'!$C$6,7,1),'💳 Transactions'!$B$12:$B$5000,"&lt;"&amp;DATE('📅 Year'!$C$6,7+1,1))</f>
        <v/>
      </c>
      <c r="J17" s="80">
        <f>SUMIFS('💳 Transactions'!$J$12:$J$5000,'💳 Transactions'!$E$12:$E$5000,"Education",'💳 Transactions'!$B$12:$B$5000,"&gt;="&amp;DATE('📅 Year'!$C$6,8,1),'💳 Transactions'!$B$12:$B$5000,"&lt;"&amp;DATE('📅 Year'!$C$6,8+1,1))</f>
        <v/>
      </c>
      <c r="K17" s="80">
        <f>SUMIFS('💳 Transactions'!$J$12:$J$5000,'💳 Transactions'!$E$12:$E$5000,"Education",'💳 Transactions'!$B$12:$B$5000,"&gt;="&amp;DATE('📅 Year'!$C$6,9,1),'💳 Transactions'!$B$12:$B$5000,"&lt;"&amp;DATE('📅 Year'!$C$6,9+1,1))</f>
        <v/>
      </c>
      <c r="L17" s="80">
        <f>SUMIFS('💳 Transactions'!$J$12:$J$5000,'💳 Transactions'!$E$12:$E$5000,"Education",'💳 Transactions'!$B$12:$B$5000,"&gt;="&amp;DATE('📅 Year'!$C$6,10,1),'💳 Transactions'!$B$12:$B$5000,"&lt;"&amp;DATE('📅 Year'!$C$6,10+1,1))</f>
        <v/>
      </c>
      <c r="M17" s="80">
        <f>SUMIFS('💳 Transactions'!$J$12:$J$5000,'💳 Transactions'!$E$12:$E$5000,"Education",'💳 Transactions'!$B$12:$B$5000,"&gt;="&amp;DATE('📅 Year'!$C$6,11,1),'💳 Transactions'!$B$12:$B$5000,"&lt;"&amp;DATE('📅 Year'!$C$6,11+1,1))</f>
        <v/>
      </c>
      <c r="N17" s="80">
        <f>SUMIFS('💳 Transactions'!$J$12:$J$5000,'💳 Transactions'!$E$12:$E$5000,"Education",'💳 Transactions'!$B$12:$B$5000,"&gt;="&amp;DATE('📅 Year'!$C$6,12,1),'💳 Transactions'!$B$12:$B$5000,"&lt;"&amp;DATE('📅 Year'!$C$6,12+1,1))</f>
        <v/>
      </c>
      <c r="O17" s="81">
        <f>SUM(C17:N17)</f>
        <v/>
      </c>
    </row>
    <row r="18" ht="17" customHeight="1">
      <c r="B18" s="79" t="inlineStr">
        <is>
          <t>🔁  Subscriptions</t>
        </is>
      </c>
      <c r="C18" s="80">
        <f>SUMIFS('💳 Transactions'!$J$12:$J$5000,'💳 Transactions'!$E$12:$E$5000,"Subscriptions",'💳 Transactions'!$B$12:$B$5000,"&gt;="&amp;DATE('📅 Year'!$C$6,1,1),'💳 Transactions'!$B$12:$B$5000,"&lt;"&amp;DATE('📅 Year'!$C$6,1+1,1))</f>
        <v/>
      </c>
      <c r="D18" s="80">
        <f>SUMIFS('💳 Transactions'!$J$12:$J$5000,'💳 Transactions'!$E$12:$E$5000,"Subscriptions",'💳 Transactions'!$B$12:$B$5000,"&gt;="&amp;DATE('📅 Year'!$C$6,2,1),'💳 Transactions'!$B$12:$B$5000,"&lt;"&amp;DATE('📅 Year'!$C$6,2+1,1))</f>
        <v/>
      </c>
      <c r="E18" s="80">
        <f>SUMIFS('💳 Transactions'!$J$12:$J$5000,'💳 Transactions'!$E$12:$E$5000,"Subscriptions",'💳 Transactions'!$B$12:$B$5000,"&gt;="&amp;DATE('📅 Year'!$C$6,3,1),'💳 Transactions'!$B$12:$B$5000,"&lt;"&amp;DATE('📅 Year'!$C$6,3+1,1))</f>
        <v/>
      </c>
      <c r="F18" s="80">
        <f>SUMIFS('💳 Transactions'!$J$12:$J$5000,'💳 Transactions'!$E$12:$E$5000,"Subscriptions",'💳 Transactions'!$B$12:$B$5000,"&gt;="&amp;DATE('📅 Year'!$C$6,4,1),'💳 Transactions'!$B$12:$B$5000,"&lt;"&amp;DATE('📅 Year'!$C$6,4+1,1))</f>
        <v/>
      </c>
      <c r="G18" s="80">
        <f>SUMIFS('💳 Transactions'!$J$12:$J$5000,'💳 Transactions'!$E$12:$E$5000,"Subscriptions",'💳 Transactions'!$B$12:$B$5000,"&gt;="&amp;DATE('📅 Year'!$C$6,5,1),'💳 Transactions'!$B$12:$B$5000,"&lt;"&amp;DATE('📅 Year'!$C$6,5+1,1))</f>
        <v/>
      </c>
      <c r="H18" s="80">
        <f>SUMIFS('💳 Transactions'!$J$12:$J$5000,'💳 Transactions'!$E$12:$E$5000,"Subscriptions",'💳 Transactions'!$B$12:$B$5000,"&gt;="&amp;DATE('📅 Year'!$C$6,6,1),'💳 Transactions'!$B$12:$B$5000,"&lt;"&amp;DATE('📅 Year'!$C$6,6+1,1))</f>
        <v/>
      </c>
      <c r="I18" s="80">
        <f>SUMIFS('💳 Transactions'!$J$12:$J$5000,'💳 Transactions'!$E$12:$E$5000,"Subscriptions",'💳 Transactions'!$B$12:$B$5000,"&gt;="&amp;DATE('📅 Year'!$C$6,7,1),'💳 Transactions'!$B$12:$B$5000,"&lt;"&amp;DATE('📅 Year'!$C$6,7+1,1))</f>
        <v/>
      </c>
      <c r="J18" s="80">
        <f>SUMIFS('💳 Transactions'!$J$12:$J$5000,'💳 Transactions'!$E$12:$E$5000,"Subscriptions",'💳 Transactions'!$B$12:$B$5000,"&gt;="&amp;DATE('📅 Year'!$C$6,8,1),'💳 Transactions'!$B$12:$B$5000,"&lt;"&amp;DATE('📅 Year'!$C$6,8+1,1))</f>
        <v/>
      </c>
      <c r="K18" s="80">
        <f>SUMIFS('💳 Transactions'!$J$12:$J$5000,'💳 Transactions'!$E$12:$E$5000,"Subscriptions",'💳 Transactions'!$B$12:$B$5000,"&gt;="&amp;DATE('📅 Year'!$C$6,9,1),'💳 Transactions'!$B$12:$B$5000,"&lt;"&amp;DATE('📅 Year'!$C$6,9+1,1))</f>
        <v/>
      </c>
      <c r="L18" s="80">
        <f>SUMIFS('💳 Transactions'!$J$12:$J$5000,'💳 Transactions'!$E$12:$E$5000,"Subscriptions",'💳 Transactions'!$B$12:$B$5000,"&gt;="&amp;DATE('📅 Year'!$C$6,10,1),'💳 Transactions'!$B$12:$B$5000,"&lt;"&amp;DATE('📅 Year'!$C$6,10+1,1))</f>
        <v/>
      </c>
      <c r="M18" s="80">
        <f>SUMIFS('💳 Transactions'!$J$12:$J$5000,'💳 Transactions'!$E$12:$E$5000,"Subscriptions",'💳 Transactions'!$B$12:$B$5000,"&gt;="&amp;DATE('📅 Year'!$C$6,11,1),'💳 Transactions'!$B$12:$B$5000,"&lt;"&amp;DATE('📅 Year'!$C$6,11+1,1))</f>
        <v/>
      </c>
      <c r="N18" s="80">
        <f>SUMIFS('💳 Transactions'!$J$12:$J$5000,'💳 Transactions'!$E$12:$E$5000,"Subscriptions",'💳 Transactions'!$B$12:$B$5000,"&gt;="&amp;DATE('📅 Year'!$C$6,12,1),'💳 Transactions'!$B$12:$B$5000,"&lt;"&amp;DATE('📅 Year'!$C$6,12+1,1))</f>
        <v/>
      </c>
      <c r="O18" s="81">
        <f>SUM(C18:N18)</f>
        <v/>
      </c>
    </row>
    <row r="19" ht="17" customHeight="1">
      <c r="B19" s="79" t="inlineStr">
        <is>
          <t>🐾  Pets</t>
        </is>
      </c>
      <c r="C19" s="80">
        <f>SUMIFS('💳 Transactions'!$J$12:$J$5000,'💳 Transactions'!$E$12:$E$5000,"Pets",'💳 Transactions'!$B$12:$B$5000,"&gt;="&amp;DATE('📅 Year'!$C$6,1,1),'💳 Transactions'!$B$12:$B$5000,"&lt;"&amp;DATE('📅 Year'!$C$6,1+1,1))</f>
        <v/>
      </c>
      <c r="D19" s="80">
        <f>SUMIFS('💳 Transactions'!$J$12:$J$5000,'💳 Transactions'!$E$12:$E$5000,"Pets",'💳 Transactions'!$B$12:$B$5000,"&gt;="&amp;DATE('📅 Year'!$C$6,2,1),'💳 Transactions'!$B$12:$B$5000,"&lt;"&amp;DATE('📅 Year'!$C$6,2+1,1))</f>
        <v/>
      </c>
      <c r="E19" s="80">
        <f>SUMIFS('💳 Transactions'!$J$12:$J$5000,'💳 Transactions'!$E$12:$E$5000,"Pets",'💳 Transactions'!$B$12:$B$5000,"&gt;="&amp;DATE('📅 Year'!$C$6,3,1),'💳 Transactions'!$B$12:$B$5000,"&lt;"&amp;DATE('📅 Year'!$C$6,3+1,1))</f>
        <v/>
      </c>
      <c r="F19" s="80">
        <f>SUMIFS('💳 Transactions'!$J$12:$J$5000,'💳 Transactions'!$E$12:$E$5000,"Pets",'💳 Transactions'!$B$12:$B$5000,"&gt;="&amp;DATE('📅 Year'!$C$6,4,1),'💳 Transactions'!$B$12:$B$5000,"&lt;"&amp;DATE('📅 Year'!$C$6,4+1,1))</f>
        <v/>
      </c>
      <c r="G19" s="80">
        <f>SUMIFS('💳 Transactions'!$J$12:$J$5000,'💳 Transactions'!$E$12:$E$5000,"Pets",'💳 Transactions'!$B$12:$B$5000,"&gt;="&amp;DATE('📅 Year'!$C$6,5,1),'💳 Transactions'!$B$12:$B$5000,"&lt;"&amp;DATE('📅 Year'!$C$6,5+1,1))</f>
        <v/>
      </c>
      <c r="H19" s="80">
        <f>SUMIFS('💳 Transactions'!$J$12:$J$5000,'💳 Transactions'!$E$12:$E$5000,"Pets",'💳 Transactions'!$B$12:$B$5000,"&gt;="&amp;DATE('📅 Year'!$C$6,6,1),'💳 Transactions'!$B$12:$B$5000,"&lt;"&amp;DATE('📅 Year'!$C$6,6+1,1))</f>
        <v/>
      </c>
      <c r="I19" s="80">
        <f>SUMIFS('💳 Transactions'!$J$12:$J$5000,'💳 Transactions'!$E$12:$E$5000,"Pets",'💳 Transactions'!$B$12:$B$5000,"&gt;="&amp;DATE('📅 Year'!$C$6,7,1),'💳 Transactions'!$B$12:$B$5000,"&lt;"&amp;DATE('📅 Year'!$C$6,7+1,1))</f>
        <v/>
      </c>
      <c r="J19" s="80">
        <f>SUMIFS('💳 Transactions'!$J$12:$J$5000,'💳 Transactions'!$E$12:$E$5000,"Pets",'💳 Transactions'!$B$12:$B$5000,"&gt;="&amp;DATE('📅 Year'!$C$6,8,1),'💳 Transactions'!$B$12:$B$5000,"&lt;"&amp;DATE('📅 Year'!$C$6,8+1,1))</f>
        <v/>
      </c>
      <c r="K19" s="80">
        <f>SUMIFS('💳 Transactions'!$J$12:$J$5000,'💳 Transactions'!$E$12:$E$5000,"Pets",'💳 Transactions'!$B$12:$B$5000,"&gt;="&amp;DATE('📅 Year'!$C$6,9,1),'💳 Transactions'!$B$12:$B$5000,"&lt;"&amp;DATE('📅 Year'!$C$6,9+1,1))</f>
        <v/>
      </c>
      <c r="L19" s="80">
        <f>SUMIFS('💳 Transactions'!$J$12:$J$5000,'💳 Transactions'!$E$12:$E$5000,"Pets",'💳 Transactions'!$B$12:$B$5000,"&gt;="&amp;DATE('📅 Year'!$C$6,10,1),'💳 Transactions'!$B$12:$B$5000,"&lt;"&amp;DATE('📅 Year'!$C$6,10+1,1))</f>
        <v/>
      </c>
      <c r="M19" s="80">
        <f>SUMIFS('💳 Transactions'!$J$12:$J$5000,'💳 Transactions'!$E$12:$E$5000,"Pets",'💳 Transactions'!$B$12:$B$5000,"&gt;="&amp;DATE('📅 Year'!$C$6,11,1),'💳 Transactions'!$B$12:$B$5000,"&lt;"&amp;DATE('📅 Year'!$C$6,11+1,1))</f>
        <v/>
      </c>
      <c r="N19" s="80">
        <f>SUMIFS('💳 Transactions'!$J$12:$J$5000,'💳 Transactions'!$E$12:$E$5000,"Pets",'💳 Transactions'!$B$12:$B$5000,"&gt;="&amp;DATE('📅 Year'!$C$6,12,1),'💳 Transactions'!$B$12:$B$5000,"&lt;"&amp;DATE('📅 Year'!$C$6,12+1,1))</f>
        <v/>
      </c>
      <c r="O19" s="81">
        <f>SUM(C19:N19)</f>
        <v/>
      </c>
    </row>
    <row r="20" ht="17" customHeight="1">
      <c r="B20" s="79" t="inlineStr">
        <is>
          <t>🧸  Children</t>
        </is>
      </c>
      <c r="C20" s="80">
        <f>SUMIFS('💳 Transactions'!$J$12:$J$5000,'💳 Transactions'!$E$12:$E$5000,"Children",'💳 Transactions'!$B$12:$B$5000,"&gt;="&amp;DATE('📅 Year'!$C$6,1,1),'💳 Transactions'!$B$12:$B$5000,"&lt;"&amp;DATE('📅 Year'!$C$6,1+1,1))</f>
        <v/>
      </c>
      <c r="D20" s="80">
        <f>SUMIFS('💳 Transactions'!$J$12:$J$5000,'💳 Transactions'!$E$12:$E$5000,"Children",'💳 Transactions'!$B$12:$B$5000,"&gt;="&amp;DATE('📅 Year'!$C$6,2,1),'💳 Transactions'!$B$12:$B$5000,"&lt;"&amp;DATE('📅 Year'!$C$6,2+1,1))</f>
        <v/>
      </c>
      <c r="E20" s="80">
        <f>SUMIFS('💳 Transactions'!$J$12:$J$5000,'💳 Transactions'!$E$12:$E$5000,"Children",'💳 Transactions'!$B$12:$B$5000,"&gt;="&amp;DATE('📅 Year'!$C$6,3,1),'💳 Transactions'!$B$12:$B$5000,"&lt;"&amp;DATE('📅 Year'!$C$6,3+1,1))</f>
        <v/>
      </c>
      <c r="F20" s="80">
        <f>SUMIFS('💳 Transactions'!$J$12:$J$5000,'💳 Transactions'!$E$12:$E$5000,"Children",'💳 Transactions'!$B$12:$B$5000,"&gt;="&amp;DATE('📅 Year'!$C$6,4,1),'💳 Transactions'!$B$12:$B$5000,"&lt;"&amp;DATE('📅 Year'!$C$6,4+1,1))</f>
        <v/>
      </c>
      <c r="G20" s="80">
        <f>SUMIFS('💳 Transactions'!$J$12:$J$5000,'💳 Transactions'!$E$12:$E$5000,"Children",'💳 Transactions'!$B$12:$B$5000,"&gt;="&amp;DATE('📅 Year'!$C$6,5,1),'💳 Transactions'!$B$12:$B$5000,"&lt;"&amp;DATE('📅 Year'!$C$6,5+1,1))</f>
        <v/>
      </c>
      <c r="H20" s="80">
        <f>SUMIFS('💳 Transactions'!$J$12:$J$5000,'💳 Transactions'!$E$12:$E$5000,"Children",'💳 Transactions'!$B$12:$B$5000,"&gt;="&amp;DATE('📅 Year'!$C$6,6,1),'💳 Transactions'!$B$12:$B$5000,"&lt;"&amp;DATE('📅 Year'!$C$6,6+1,1))</f>
        <v/>
      </c>
      <c r="I20" s="80">
        <f>SUMIFS('💳 Transactions'!$J$12:$J$5000,'💳 Transactions'!$E$12:$E$5000,"Children",'💳 Transactions'!$B$12:$B$5000,"&gt;="&amp;DATE('📅 Year'!$C$6,7,1),'💳 Transactions'!$B$12:$B$5000,"&lt;"&amp;DATE('📅 Year'!$C$6,7+1,1))</f>
        <v/>
      </c>
      <c r="J20" s="80">
        <f>SUMIFS('💳 Transactions'!$J$12:$J$5000,'💳 Transactions'!$E$12:$E$5000,"Children",'💳 Transactions'!$B$12:$B$5000,"&gt;="&amp;DATE('📅 Year'!$C$6,8,1),'💳 Transactions'!$B$12:$B$5000,"&lt;"&amp;DATE('📅 Year'!$C$6,8+1,1))</f>
        <v/>
      </c>
      <c r="K20" s="80">
        <f>SUMIFS('💳 Transactions'!$J$12:$J$5000,'💳 Transactions'!$E$12:$E$5000,"Children",'💳 Transactions'!$B$12:$B$5000,"&gt;="&amp;DATE('📅 Year'!$C$6,9,1),'💳 Transactions'!$B$12:$B$5000,"&lt;"&amp;DATE('📅 Year'!$C$6,9+1,1))</f>
        <v/>
      </c>
      <c r="L20" s="80">
        <f>SUMIFS('💳 Transactions'!$J$12:$J$5000,'💳 Transactions'!$E$12:$E$5000,"Children",'💳 Transactions'!$B$12:$B$5000,"&gt;="&amp;DATE('📅 Year'!$C$6,10,1),'💳 Transactions'!$B$12:$B$5000,"&lt;"&amp;DATE('📅 Year'!$C$6,10+1,1))</f>
        <v/>
      </c>
      <c r="M20" s="80">
        <f>SUMIFS('💳 Transactions'!$J$12:$J$5000,'💳 Transactions'!$E$12:$E$5000,"Children",'💳 Transactions'!$B$12:$B$5000,"&gt;="&amp;DATE('📅 Year'!$C$6,11,1),'💳 Transactions'!$B$12:$B$5000,"&lt;"&amp;DATE('📅 Year'!$C$6,11+1,1))</f>
        <v/>
      </c>
      <c r="N20" s="80">
        <f>SUMIFS('💳 Transactions'!$J$12:$J$5000,'💳 Transactions'!$E$12:$E$5000,"Children",'💳 Transactions'!$B$12:$B$5000,"&gt;="&amp;DATE('📅 Year'!$C$6,12,1),'💳 Transactions'!$B$12:$B$5000,"&lt;"&amp;DATE('📅 Year'!$C$6,12+1,1))</f>
        <v/>
      </c>
      <c r="O20" s="81">
        <f>SUM(C20:N20)</f>
        <v/>
      </c>
    </row>
    <row r="21" ht="17" customHeight="1">
      <c r="B21" s="79" t="inlineStr">
        <is>
          <t>🏛️  Taxes</t>
        </is>
      </c>
      <c r="C21" s="80">
        <f>SUMIFS('💳 Transactions'!$J$12:$J$5000,'💳 Transactions'!$E$12:$E$5000,"Taxes",'💳 Transactions'!$B$12:$B$5000,"&gt;="&amp;DATE('📅 Year'!$C$6,1,1),'💳 Transactions'!$B$12:$B$5000,"&lt;"&amp;DATE('📅 Year'!$C$6,1+1,1))</f>
        <v/>
      </c>
      <c r="D21" s="80">
        <f>SUMIFS('💳 Transactions'!$J$12:$J$5000,'💳 Transactions'!$E$12:$E$5000,"Taxes",'💳 Transactions'!$B$12:$B$5000,"&gt;="&amp;DATE('📅 Year'!$C$6,2,1),'💳 Transactions'!$B$12:$B$5000,"&lt;"&amp;DATE('📅 Year'!$C$6,2+1,1))</f>
        <v/>
      </c>
      <c r="E21" s="80">
        <f>SUMIFS('💳 Transactions'!$J$12:$J$5000,'💳 Transactions'!$E$12:$E$5000,"Taxes",'💳 Transactions'!$B$12:$B$5000,"&gt;="&amp;DATE('📅 Year'!$C$6,3,1),'💳 Transactions'!$B$12:$B$5000,"&lt;"&amp;DATE('📅 Year'!$C$6,3+1,1))</f>
        <v/>
      </c>
      <c r="F21" s="80">
        <f>SUMIFS('💳 Transactions'!$J$12:$J$5000,'💳 Transactions'!$E$12:$E$5000,"Taxes",'💳 Transactions'!$B$12:$B$5000,"&gt;="&amp;DATE('📅 Year'!$C$6,4,1),'💳 Transactions'!$B$12:$B$5000,"&lt;"&amp;DATE('📅 Year'!$C$6,4+1,1))</f>
        <v/>
      </c>
      <c r="G21" s="80">
        <f>SUMIFS('💳 Transactions'!$J$12:$J$5000,'💳 Transactions'!$E$12:$E$5000,"Taxes",'💳 Transactions'!$B$12:$B$5000,"&gt;="&amp;DATE('📅 Year'!$C$6,5,1),'💳 Transactions'!$B$12:$B$5000,"&lt;"&amp;DATE('📅 Year'!$C$6,5+1,1))</f>
        <v/>
      </c>
      <c r="H21" s="80">
        <f>SUMIFS('💳 Transactions'!$J$12:$J$5000,'💳 Transactions'!$E$12:$E$5000,"Taxes",'💳 Transactions'!$B$12:$B$5000,"&gt;="&amp;DATE('📅 Year'!$C$6,6,1),'💳 Transactions'!$B$12:$B$5000,"&lt;"&amp;DATE('📅 Year'!$C$6,6+1,1))</f>
        <v/>
      </c>
      <c r="I21" s="80">
        <f>SUMIFS('💳 Transactions'!$J$12:$J$5000,'💳 Transactions'!$E$12:$E$5000,"Taxes",'💳 Transactions'!$B$12:$B$5000,"&gt;="&amp;DATE('📅 Year'!$C$6,7,1),'💳 Transactions'!$B$12:$B$5000,"&lt;"&amp;DATE('📅 Year'!$C$6,7+1,1))</f>
        <v/>
      </c>
      <c r="J21" s="80">
        <f>SUMIFS('💳 Transactions'!$J$12:$J$5000,'💳 Transactions'!$E$12:$E$5000,"Taxes",'💳 Transactions'!$B$12:$B$5000,"&gt;="&amp;DATE('📅 Year'!$C$6,8,1),'💳 Transactions'!$B$12:$B$5000,"&lt;"&amp;DATE('📅 Year'!$C$6,8+1,1))</f>
        <v/>
      </c>
      <c r="K21" s="80">
        <f>SUMIFS('💳 Transactions'!$J$12:$J$5000,'💳 Transactions'!$E$12:$E$5000,"Taxes",'💳 Transactions'!$B$12:$B$5000,"&gt;="&amp;DATE('📅 Year'!$C$6,9,1),'💳 Transactions'!$B$12:$B$5000,"&lt;"&amp;DATE('📅 Year'!$C$6,9+1,1))</f>
        <v/>
      </c>
      <c r="L21" s="80">
        <f>SUMIFS('💳 Transactions'!$J$12:$J$5000,'💳 Transactions'!$E$12:$E$5000,"Taxes",'💳 Transactions'!$B$12:$B$5000,"&gt;="&amp;DATE('📅 Year'!$C$6,10,1),'💳 Transactions'!$B$12:$B$5000,"&lt;"&amp;DATE('📅 Year'!$C$6,10+1,1))</f>
        <v/>
      </c>
      <c r="M21" s="80">
        <f>SUMIFS('💳 Transactions'!$J$12:$J$5000,'💳 Transactions'!$E$12:$E$5000,"Taxes",'💳 Transactions'!$B$12:$B$5000,"&gt;="&amp;DATE('📅 Year'!$C$6,11,1),'💳 Transactions'!$B$12:$B$5000,"&lt;"&amp;DATE('📅 Year'!$C$6,11+1,1))</f>
        <v/>
      </c>
      <c r="N21" s="80">
        <f>SUMIFS('💳 Transactions'!$J$12:$J$5000,'💳 Transactions'!$E$12:$E$5000,"Taxes",'💳 Transactions'!$B$12:$B$5000,"&gt;="&amp;DATE('📅 Year'!$C$6,12,1),'💳 Transactions'!$B$12:$B$5000,"&lt;"&amp;DATE('📅 Year'!$C$6,12+1,1))</f>
        <v/>
      </c>
      <c r="O21" s="81">
        <f>SUM(C21:N21)</f>
        <v/>
      </c>
    </row>
    <row r="22" ht="17" customHeight="1">
      <c r="B22" s="79" t="inlineStr">
        <is>
          <t>🌱  Savings</t>
        </is>
      </c>
      <c r="C22" s="80">
        <f>SUMIFS('💳 Transactions'!$J$12:$J$5000,'💳 Transactions'!$E$12:$E$5000,"Savings",'💳 Transactions'!$B$12:$B$5000,"&gt;="&amp;DATE('📅 Year'!$C$6,1,1),'💳 Transactions'!$B$12:$B$5000,"&lt;"&amp;DATE('📅 Year'!$C$6,1+1,1))</f>
        <v/>
      </c>
      <c r="D22" s="80">
        <f>SUMIFS('💳 Transactions'!$J$12:$J$5000,'💳 Transactions'!$E$12:$E$5000,"Savings",'💳 Transactions'!$B$12:$B$5000,"&gt;="&amp;DATE('📅 Year'!$C$6,2,1),'💳 Transactions'!$B$12:$B$5000,"&lt;"&amp;DATE('📅 Year'!$C$6,2+1,1))</f>
        <v/>
      </c>
      <c r="E22" s="80">
        <f>SUMIFS('💳 Transactions'!$J$12:$J$5000,'💳 Transactions'!$E$12:$E$5000,"Savings",'💳 Transactions'!$B$12:$B$5000,"&gt;="&amp;DATE('📅 Year'!$C$6,3,1),'💳 Transactions'!$B$12:$B$5000,"&lt;"&amp;DATE('📅 Year'!$C$6,3+1,1))</f>
        <v/>
      </c>
      <c r="F22" s="80">
        <f>SUMIFS('💳 Transactions'!$J$12:$J$5000,'💳 Transactions'!$E$12:$E$5000,"Savings",'💳 Transactions'!$B$12:$B$5000,"&gt;="&amp;DATE('📅 Year'!$C$6,4,1),'💳 Transactions'!$B$12:$B$5000,"&lt;"&amp;DATE('📅 Year'!$C$6,4+1,1))</f>
        <v/>
      </c>
      <c r="G22" s="80">
        <f>SUMIFS('💳 Transactions'!$J$12:$J$5000,'💳 Transactions'!$E$12:$E$5000,"Savings",'💳 Transactions'!$B$12:$B$5000,"&gt;="&amp;DATE('📅 Year'!$C$6,5,1),'💳 Transactions'!$B$12:$B$5000,"&lt;"&amp;DATE('📅 Year'!$C$6,5+1,1))</f>
        <v/>
      </c>
      <c r="H22" s="80">
        <f>SUMIFS('💳 Transactions'!$J$12:$J$5000,'💳 Transactions'!$E$12:$E$5000,"Savings",'💳 Transactions'!$B$12:$B$5000,"&gt;="&amp;DATE('📅 Year'!$C$6,6,1),'💳 Transactions'!$B$12:$B$5000,"&lt;"&amp;DATE('📅 Year'!$C$6,6+1,1))</f>
        <v/>
      </c>
      <c r="I22" s="80">
        <f>SUMIFS('💳 Transactions'!$J$12:$J$5000,'💳 Transactions'!$E$12:$E$5000,"Savings",'💳 Transactions'!$B$12:$B$5000,"&gt;="&amp;DATE('📅 Year'!$C$6,7,1),'💳 Transactions'!$B$12:$B$5000,"&lt;"&amp;DATE('📅 Year'!$C$6,7+1,1))</f>
        <v/>
      </c>
      <c r="J22" s="80">
        <f>SUMIFS('💳 Transactions'!$J$12:$J$5000,'💳 Transactions'!$E$12:$E$5000,"Savings",'💳 Transactions'!$B$12:$B$5000,"&gt;="&amp;DATE('📅 Year'!$C$6,8,1),'💳 Transactions'!$B$12:$B$5000,"&lt;"&amp;DATE('📅 Year'!$C$6,8+1,1))</f>
        <v/>
      </c>
      <c r="K22" s="80">
        <f>SUMIFS('💳 Transactions'!$J$12:$J$5000,'💳 Transactions'!$E$12:$E$5000,"Savings",'💳 Transactions'!$B$12:$B$5000,"&gt;="&amp;DATE('📅 Year'!$C$6,9,1),'💳 Transactions'!$B$12:$B$5000,"&lt;"&amp;DATE('📅 Year'!$C$6,9+1,1))</f>
        <v/>
      </c>
      <c r="L22" s="80">
        <f>SUMIFS('💳 Transactions'!$J$12:$J$5000,'💳 Transactions'!$E$12:$E$5000,"Savings",'💳 Transactions'!$B$12:$B$5000,"&gt;="&amp;DATE('📅 Year'!$C$6,10,1),'💳 Transactions'!$B$12:$B$5000,"&lt;"&amp;DATE('📅 Year'!$C$6,10+1,1))</f>
        <v/>
      </c>
      <c r="M22" s="80">
        <f>SUMIFS('💳 Transactions'!$J$12:$J$5000,'💳 Transactions'!$E$12:$E$5000,"Savings",'💳 Transactions'!$B$12:$B$5000,"&gt;="&amp;DATE('📅 Year'!$C$6,11,1),'💳 Transactions'!$B$12:$B$5000,"&lt;"&amp;DATE('📅 Year'!$C$6,11+1,1))</f>
        <v/>
      </c>
      <c r="N22" s="80">
        <f>SUMIFS('💳 Transactions'!$J$12:$J$5000,'💳 Transactions'!$E$12:$E$5000,"Savings",'💳 Transactions'!$B$12:$B$5000,"&gt;="&amp;DATE('📅 Year'!$C$6,12,1),'💳 Transactions'!$B$12:$B$5000,"&lt;"&amp;DATE('📅 Year'!$C$6,12+1,1))</f>
        <v/>
      </c>
      <c r="O22" s="81">
        <f>SUM(C22:N22)</f>
        <v/>
      </c>
    </row>
    <row r="23" ht="17" customHeight="1">
      <c r="B23" s="79" t="inlineStr">
        <is>
          <t>📈  Investments</t>
        </is>
      </c>
      <c r="C23" s="80">
        <f>SUMIFS('💳 Transactions'!$J$12:$J$5000,'💳 Transactions'!$E$12:$E$5000,"Investments",'💳 Transactions'!$B$12:$B$5000,"&gt;="&amp;DATE('📅 Year'!$C$6,1,1),'💳 Transactions'!$B$12:$B$5000,"&lt;"&amp;DATE('📅 Year'!$C$6,1+1,1))</f>
        <v/>
      </c>
      <c r="D23" s="80">
        <f>SUMIFS('💳 Transactions'!$J$12:$J$5000,'💳 Transactions'!$E$12:$E$5000,"Investments",'💳 Transactions'!$B$12:$B$5000,"&gt;="&amp;DATE('📅 Year'!$C$6,2,1),'💳 Transactions'!$B$12:$B$5000,"&lt;"&amp;DATE('📅 Year'!$C$6,2+1,1))</f>
        <v/>
      </c>
      <c r="E23" s="80">
        <f>SUMIFS('💳 Transactions'!$J$12:$J$5000,'💳 Transactions'!$E$12:$E$5000,"Investments",'💳 Transactions'!$B$12:$B$5000,"&gt;="&amp;DATE('📅 Year'!$C$6,3,1),'💳 Transactions'!$B$12:$B$5000,"&lt;"&amp;DATE('📅 Year'!$C$6,3+1,1))</f>
        <v/>
      </c>
      <c r="F23" s="80">
        <f>SUMIFS('💳 Transactions'!$J$12:$J$5000,'💳 Transactions'!$E$12:$E$5000,"Investments",'💳 Transactions'!$B$12:$B$5000,"&gt;="&amp;DATE('📅 Year'!$C$6,4,1),'💳 Transactions'!$B$12:$B$5000,"&lt;"&amp;DATE('📅 Year'!$C$6,4+1,1))</f>
        <v/>
      </c>
      <c r="G23" s="80">
        <f>SUMIFS('💳 Transactions'!$J$12:$J$5000,'💳 Transactions'!$E$12:$E$5000,"Investments",'💳 Transactions'!$B$12:$B$5000,"&gt;="&amp;DATE('📅 Year'!$C$6,5,1),'💳 Transactions'!$B$12:$B$5000,"&lt;"&amp;DATE('📅 Year'!$C$6,5+1,1))</f>
        <v/>
      </c>
      <c r="H23" s="80">
        <f>SUMIFS('💳 Transactions'!$J$12:$J$5000,'💳 Transactions'!$E$12:$E$5000,"Investments",'💳 Transactions'!$B$12:$B$5000,"&gt;="&amp;DATE('📅 Year'!$C$6,6,1),'💳 Transactions'!$B$12:$B$5000,"&lt;"&amp;DATE('📅 Year'!$C$6,6+1,1))</f>
        <v/>
      </c>
      <c r="I23" s="80">
        <f>SUMIFS('💳 Transactions'!$J$12:$J$5000,'💳 Transactions'!$E$12:$E$5000,"Investments",'💳 Transactions'!$B$12:$B$5000,"&gt;="&amp;DATE('📅 Year'!$C$6,7,1),'💳 Transactions'!$B$12:$B$5000,"&lt;"&amp;DATE('📅 Year'!$C$6,7+1,1))</f>
        <v/>
      </c>
      <c r="J23" s="80">
        <f>SUMIFS('💳 Transactions'!$J$12:$J$5000,'💳 Transactions'!$E$12:$E$5000,"Investments",'💳 Transactions'!$B$12:$B$5000,"&gt;="&amp;DATE('📅 Year'!$C$6,8,1),'💳 Transactions'!$B$12:$B$5000,"&lt;"&amp;DATE('📅 Year'!$C$6,8+1,1))</f>
        <v/>
      </c>
      <c r="K23" s="80">
        <f>SUMIFS('💳 Transactions'!$J$12:$J$5000,'💳 Transactions'!$E$12:$E$5000,"Investments",'💳 Transactions'!$B$12:$B$5000,"&gt;="&amp;DATE('📅 Year'!$C$6,9,1),'💳 Transactions'!$B$12:$B$5000,"&lt;"&amp;DATE('📅 Year'!$C$6,9+1,1))</f>
        <v/>
      </c>
      <c r="L23" s="80">
        <f>SUMIFS('💳 Transactions'!$J$12:$J$5000,'💳 Transactions'!$E$12:$E$5000,"Investments",'💳 Transactions'!$B$12:$B$5000,"&gt;="&amp;DATE('📅 Year'!$C$6,10,1),'💳 Transactions'!$B$12:$B$5000,"&lt;"&amp;DATE('📅 Year'!$C$6,10+1,1))</f>
        <v/>
      </c>
      <c r="M23" s="80">
        <f>SUMIFS('💳 Transactions'!$J$12:$J$5000,'💳 Transactions'!$E$12:$E$5000,"Investments",'💳 Transactions'!$B$12:$B$5000,"&gt;="&amp;DATE('📅 Year'!$C$6,11,1),'💳 Transactions'!$B$12:$B$5000,"&lt;"&amp;DATE('📅 Year'!$C$6,11+1,1))</f>
        <v/>
      </c>
      <c r="N23" s="80">
        <f>SUMIFS('💳 Transactions'!$J$12:$J$5000,'💳 Transactions'!$E$12:$E$5000,"Investments",'💳 Transactions'!$B$12:$B$5000,"&gt;="&amp;DATE('📅 Year'!$C$6,12,1),'💳 Transactions'!$B$12:$B$5000,"&lt;"&amp;DATE('📅 Year'!$C$6,12+1,1))</f>
        <v/>
      </c>
      <c r="O23" s="81">
        <f>SUM(C23:N23)</f>
        <v/>
      </c>
    </row>
    <row r="24" ht="17" customHeight="1">
      <c r="B24" s="79" t="inlineStr">
        <is>
          <t>📦  Other</t>
        </is>
      </c>
      <c r="C24" s="80">
        <f>SUMIFS('💳 Transactions'!$J$12:$J$5000,'💳 Transactions'!$E$12:$E$5000,"Other",'💳 Transactions'!$B$12:$B$5000,"&gt;="&amp;DATE('📅 Year'!$C$6,1,1),'💳 Transactions'!$B$12:$B$5000,"&lt;"&amp;DATE('📅 Year'!$C$6,1+1,1))</f>
        <v/>
      </c>
      <c r="D24" s="80">
        <f>SUMIFS('💳 Transactions'!$J$12:$J$5000,'💳 Transactions'!$E$12:$E$5000,"Other",'💳 Transactions'!$B$12:$B$5000,"&gt;="&amp;DATE('📅 Year'!$C$6,2,1),'💳 Transactions'!$B$12:$B$5000,"&lt;"&amp;DATE('📅 Year'!$C$6,2+1,1))</f>
        <v/>
      </c>
      <c r="E24" s="80">
        <f>SUMIFS('💳 Transactions'!$J$12:$J$5000,'💳 Transactions'!$E$12:$E$5000,"Other",'💳 Transactions'!$B$12:$B$5000,"&gt;="&amp;DATE('📅 Year'!$C$6,3,1),'💳 Transactions'!$B$12:$B$5000,"&lt;"&amp;DATE('📅 Year'!$C$6,3+1,1))</f>
        <v/>
      </c>
      <c r="F24" s="80">
        <f>SUMIFS('💳 Transactions'!$J$12:$J$5000,'💳 Transactions'!$E$12:$E$5000,"Other",'💳 Transactions'!$B$12:$B$5000,"&gt;="&amp;DATE('📅 Year'!$C$6,4,1),'💳 Transactions'!$B$12:$B$5000,"&lt;"&amp;DATE('📅 Year'!$C$6,4+1,1))</f>
        <v/>
      </c>
      <c r="G24" s="80">
        <f>SUMIFS('💳 Transactions'!$J$12:$J$5000,'💳 Transactions'!$E$12:$E$5000,"Other",'💳 Transactions'!$B$12:$B$5000,"&gt;="&amp;DATE('📅 Year'!$C$6,5,1),'💳 Transactions'!$B$12:$B$5000,"&lt;"&amp;DATE('📅 Year'!$C$6,5+1,1))</f>
        <v/>
      </c>
      <c r="H24" s="80">
        <f>SUMIFS('💳 Transactions'!$J$12:$J$5000,'💳 Transactions'!$E$12:$E$5000,"Other",'💳 Transactions'!$B$12:$B$5000,"&gt;="&amp;DATE('📅 Year'!$C$6,6,1),'💳 Transactions'!$B$12:$B$5000,"&lt;"&amp;DATE('📅 Year'!$C$6,6+1,1))</f>
        <v/>
      </c>
      <c r="I24" s="80">
        <f>SUMIFS('💳 Transactions'!$J$12:$J$5000,'💳 Transactions'!$E$12:$E$5000,"Other",'💳 Transactions'!$B$12:$B$5000,"&gt;="&amp;DATE('📅 Year'!$C$6,7,1),'💳 Transactions'!$B$12:$B$5000,"&lt;"&amp;DATE('📅 Year'!$C$6,7+1,1))</f>
        <v/>
      </c>
      <c r="J24" s="80">
        <f>SUMIFS('💳 Transactions'!$J$12:$J$5000,'💳 Transactions'!$E$12:$E$5000,"Other",'💳 Transactions'!$B$12:$B$5000,"&gt;="&amp;DATE('📅 Year'!$C$6,8,1),'💳 Transactions'!$B$12:$B$5000,"&lt;"&amp;DATE('📅 Year'!$C$6,8+1,1))</f>
        <v/>
      </c>
      <c r="K24" s="80">
        <f>SUMIFS('💳 Transactions'!$J$12:$J$5000,'💳 Transactions'!$E$12:$E$5000,"Other",'💳 Transactions'!$B$12:$B$5000,"&gt;="&amp;DATE('📅 Year'!$C$6,9,1),'💳 Transactions'!$B$12:$B$5000,"&lt;"&amp;DATE('📅 Year'!$C$6,9+1,1))</f>
        <v/>
      </c>
      <c r="L24" s="80">
        <f>SUMIFS('💳 Transactions'!$J$12:$J$5000,'💳 Transactions'!$E$12:$E$5000,"Other",'💳 Transactions'!$B$12:$B$5000,"&gt;="&amp;DATE('📅 Year'!$C$6,10,1),'💳 Transactions'!$B$12:$B$5000,"&lt;"&amp;DATE('📅 Year'!$C$6,10+1,1))</f>
        <v/>
      </c>
      <c r="M24" s="80">
        <f>SUMIFS('💳 Transactions'!$J$12:$J$5000,'💳 Transactions'!$E$12:$E$5000,"Other",'💳 Transactions'!$B$12:$B$5000,"&gt;="&amp;DATE('📅 Year'!$C$6,11,1),'💳 Transactions'!$B$12:$B$5000,"&lt;"&amp;DATE('📅 Year'!$C$6,11+1,1))</f>
        <v/>
      </c>
      <c r="N24" s="80">
        <f>SUMIFS('💳 Transactions'!$J$12:$J$5000,'💳 Transactions'!$E$12:$E$5000,"Other",'💳 Transactions'!$B$12:$B$5000,"&gt;="&amp;DATE('📅 Year'!$C$6,12,1),'💳 Transactions'!$B$12:$B$5000,"&lt;"&amp;DATE('📅 Year'!$C$6,12+1,1))</f>
        <v/>
      </c>
      <c r="O24" s="81">
        <f>SUM(C24:N24)</f>
        <v/>
      </c>
    </row>
    <row r="25">
      <c r="B25" s="82" t="inlineStr">
        <is>
          <t>TOTAL SPENDING</t>
        </is>
      </c>
      <c r="C25" s="83">
        <f>SUM(C9:C24)</f>
        <v/>
      </c>
      <c r="D25" s="83">
        <f>SUM(D9:D24)</f>
        <v/>
      </c>
      <c r="E25" s="83">
        <f>SUM(E9:E24)</f>
        <v/>
      </c>
      <c r="F25" s="83">
        <f>SUM(F9:F24)</f>
        <v/>
      </c>
      <c r="G25" s="83">
        <f>SUM(G9:G24)</f>
        <v/>
      </c>
      <c r="H25" s="83">
        <f>SUM(H9:H24)</f>
        <v/>
      </c>
      <c r="I25" s="83">
        <f>SUM(I9:I24)</f>
        <v/>
      </c>
      <c r="J25" s="83">
        <f>SUM(J9:J24)</f>
        <v/>
      </c>
      <c r="K25" s="83">
        <f>SUM(K9:K24)</f>
        <v/>
      </c>
      <c r="L25" s="83">
        <f>SUM(L9:L24)</f>
        <v/>
      </c>
      <c r="M25" s="83">
        <f>SUM(M9:M24)</f>
        <v/>
      </c>
      <c r="N25" s="83">
        <f>SUM(N9:N24)</f>
        <v/>
      </c>
      <c r="O25" s="83">
        <f>SUM(C25:N25)</f>
        <v/>
      </c>
    </row>
    <row r="26">
      <c r="B26" s="84" t="inlineStr">
        <is>
          <t>💰 INCOME</t>
        </is>
      </c>
      <c r="C26" s="85">
        <f>SUMIFS('💳 Transactions'!$I$12:$I$5000,'💳 Transactions'!$B$12:$B$5000,"&gt;="&amp;DATE('📅 Year'!$C$6,1,1),'💳 Transactions'!$B$12:$B$5000,"&lt;"&amp;DATE('📅 Year'!$C$6,1+1,1))</f>
        <v/>
      </c>
      <c r="D26" s="85">
        <f>SUMIFS('💳 Transactions'!$I$12:$I$5000,'💳 Transactions'!$B$12:$B$5000,"&gt;="&amp;DATE('📅 Year'!$C$6,2,1),'💳 Transactions'!$B$12:$B$5000,"&lt;"&amp;DATE('📅 Year'!$C$6,2+1,1))</f>
        <v/>
      </c>
      <c r="E26" s="85">
        <f>SUMIFS('💳 Transactions'!$I$12:$I$5000,'💳 Transactions'!$B$12:$B$5000,"&gt;="&amp;DATE('📅 Year'!$C$6,3,1),'💳 Transactions'!$B$12:$B$5000,"&lt;"&amp;DATE('📅 Year'!$C$6,3+1,1))</f>
        <v/>
      </c>
      <c r="F26" s="85">
        <f>SUMIFS('💳 Transactions'!$I$12:$I$5000,'💳 Transactions'!$B$12:$B$5000,"&gt;="&amp;DATE('📅 Year'!$C$6,4,1),'💳 Transactions'!$B$12:$B$5000,"&lt;"&amp;DATE('📅 Year'!$C$6,4+1,1))</f>
        <v/>
      </c>
      <c r="G26" s="85">
        <f>SUMIFS('💳 Transactions'!$I$12:$I$5000,'💳 Transactions'!$B$12:$B$5000,"&gt;="&amp;DATE('📅 Year'!$C$6,5,1),'💳 Transactions'!$B$12:$B$5000,"&lt;"&amp;DATE('📅 Year'!$C$6,5+1,1))</f>
        <v/>
      </c>
      <c r="H26" s="85">
        <f>SUMIFS('💳 Transactions'!$I$12:$I$5000,'💳 Transactions'!$B$12:$B$5000,"&gt;="&amp;DATE('📅 Year'!$C$6,6,1),'💳 Transactions'!$B$12:$B$5000,"&lt;"&amp;DATE('📅 Year'!$C$6,6+1,1))</f>
        <v/>
      </c>
      <c r="I26" s="85">
        <f>SUMIFS('💳 Transactions'!$I$12:$I$5000,'💳 Transactions'!$B$12:$B$5000,"&gt;="&amp;DATE('📅 Year'!$C$6,7,1),'💳 Transactions'!$B$12:$B$5000,"&lt;"&amp;DATE('📅 Year'!$C$6,7+1,1))</f>
        <v/>
      </c>
      <c r="J26" s="85">
        <f>SUMIFS('💳 Transactions'!$I$12:$I$5000,'💳 Transactions'!$B$12:$B$5000,"&gt;="&amp;DATE('📅 Year'!$C$6,8,1),'💳 Transactions'!$B$12:$B$5000,"&lt;"&amp;DATE('📅 Year'!$C$6,8+1,1))</f>
        <v/>
      </c>
      <c r="K26" s="85">
        <f>SUMIFS('💳 Transactions'!$I$12:$I$5000,'💳 Transactions'!$B$12:$B$5000,"&gt;="&amp;DATE('📅 Year'!$C$6,9,1),'💳 Transactions'!$B$12:$B$5000,"&lt;"&amp;DATE('📅 Year'!$C$6,9+1,1))</f>
        <v/>
      </c>
      <c r="L26" s="85">
        <f>SUMIFS('💳 Transactions'!$I$12:$I$5000,'💳 Transactions'!$B$12:$B$5000,"&gt;="&amp;DATE('📅 Year'!$C$6,10,1),'💳 Transactions'!$B$12:$B$5000,"&lt;"&amp;DATE('📅 Year'!$C$6,10+1,1))</f>
        <v/>
      </c>
      <c r="M26" s="85">
        <f>SUMIFS('💳 Transactions'!$I$12:$I$5000,'💳 Transactions'!$B$12:$B$5000,"&gt;="&amp;DATE('📅 Year'!$C$6,11,1),'💳 Transactions'!$B$12:$B$5000,"&lt;"&amp;DATE('📅 Year'!$C$6,11+1,1))</f>
        <v/>
      </c>
      <c r="N26" s="85">
        <f>SUMIFS('💳 Transactions'!$I$12:$I$5000,'💳 Transactions'!$B$12:$B$5000,"&gt;="&amp;DATE('📅 Year'!$C$6,12,1),'💳 Transactions'!$B$12:$B$5000,"&lt;"&amp;DATE('📅 Year'!$C$6,12+1,1))</f>
        <v/>
      </c>
      <c r="O26" s="85">
        <f>SUM(C26:N26)</f>
        <v/>
      </c>
    </row>
    <row r="27">
      <c r="B27" s="86" t="inlineStr">
        <is>
          <t>NET</t>
        </is>
      </c>
      <c r="C27" s="81">
        <f>C26-C25</f>
        <v/>
      </c>
      <c r="D27" s="81">
        <f>D26-D25</f>
        <v/>
      </c>
      <c r="E27" s="81">
        <f>E26-E25</f>
        <v/>
      </c>
      <c r="F27" s="81">
        <f>F26-F25</f>
        <v/>
      </c>
      <c r="G27" s="81">
        <f>G26-G25</f>
        <v/>
      </c>
      <c r="H27" s="81">
        <f>H26-H25</f>
        <v/>
      </c>
      <c r="I27" s="81">
        <f>I26-I25</f>
        <v/>
      </c>
      <c r="J27" s="81">
        <f>J26-J25</f>
        <v/>
      </c>
      <c r="K27" s="81">
        <f>K26-K25</f>
        <v/>
      </c>
      <c r="L27" s="81">
        <f>L26-L25</f>
        <v/>
      </c>
      <c r="M27" s="81">
        <f>M26-M25</f>
        <v/>
      </c>
      <c r="N27" s="81">
        <f>N26-N25</f>
        <v/>
      </c>
      <c r="O27" s="81">
        <f>SUM(C27:N27)</f>
        <v/>
      </c>
    </row>
  </sheetData>
  <conditionalFormatting sqref="C9:N24">
    <cfRule type="colorScale" priority="1">
      <colorScale>
        <cfvo type="num" val="0"/>
        <cfvo type="max"/>
        <color rgb="00FFFFFF"/>
        <color rgb="00C4D6BD"/>
      </colorScale>
    </cfRule>
  </conditionalFormatting>
  <conditionalFormatting sqref="C27:N27">
    <cfRule type="cellIs" priority="2" operator="less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8B8B8"/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6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2" ht="30" customHeight="1">
      <c r="B2" s="1" t="inlineStr">
        <is>
          <t>⚙️ Settings</t>
        </is>
      </c>
    </row>
    <row r="3">
      <c r="B3" s="2" t="inlineStr">
        <is>
          <t>Edit the beige cells — every dropdown in the planner updates automatically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</row>
    <row r="5" ht="8" customHeight="1"/>
    <row r="7" ht="22" customHeight="1">
      <c r="B7" s="28" t="inlineStr">
        <is>
          <t>CATEGORY</t>
        </is>
      </c>
      <c r="C7" s="87" t="inlineStr">
        <is>
          <t>ICON</t>
        </is>
      </c>
      <c r="D7" s="28" t="inlineStr">
        <is>
          <t>INCOME SOURCES</t>
        </is>
      </c>
      <c r="E7" s="28" t="inlineStr">
        <is>
          <t>PAYMENT METHODS</t>
        </is>
      </c>
      <c r="F7" s="28" t="inlineStr">
        <is>
          <t>ACCOUNTS</t>
        </is>
      </c>
      <c r="G7" s="28" t="inlineStr">
        <is>
          <t>CURRENCY</t>
        </is>
      </c>
    </row>
    <row r="8">
      <c r="B8" s="70" t="inlineStr">
        <is>
          <t>Income</t>
        </is>
      </c>
      <c r="C8" s="88" t="inlineStr">
        <is>
          <t>💰</t>
        </is>
      </c>
      <c r="D8" s="70" t="inlineStr">
        <is>
          <t>Salary</t>
        </is>
      </c>
      <c r="E8" s="70" t="inlineStr">
        <is>
          <t>Card</t>
        </is>
      </c>
      <c r="F8" s="70" t="inlineStr">
        <is>
          <t>Checking</t>
        </is>
      </c>
      <c r="G8" s="70" t="inlineStr">
        <is>
          <t>USD ($)</t>
        </is>
      </c>
    </row>
    <row r="9">
      <c r="B9" s="70" t="inlineStr">
        <is>
          <t>Housing</t>
        </is>
      </c>
      <c r="C9" s="88" t="inlineStr">
        <is>
          <t>🏠</t>
        </is>
      </c>
      <c r="D9" s="70" t="inlineStr">
        <is>
          <t>Freelance</t>
        </is>
      </c>
      <c r="E9" s="70" t="inlineStr">
        <is>
          <t>Cash</t>
        </is>
      </c>
      <c r="F9" s="70" t="inlineStr">
        <is>
          <t>Savings</t>
        </is>
      </c>
    </row>
    <row r="10">
      <c r="B10" s="70" t="inlineStr">
        <is>
          <t>Food</t>
        </is>
      </c>
      <c r="C10" s="88" t="inlineStr">
        <is>
          <t>🍽️</t>
        </is>
      </c>
      <c r="D10" s="70" t="inlineStr">
        <is>
          <t>Business</t>
        </is>
      </c>
      <c r="E10" s="70" t="inlineStr">
        <is>
          <t>Bank Transfer</t>
        </is>
      </c>
      <c r="F10" s="70" t="inlineStr">
        <is>
          <t>Credit Card</t>
        </is>
      </c>
    </row>
    <row r="11">
      <c r="B11" s="70" t="inlineStr">
        <is>
          <t>Transportation</t>
        </is>
      </c>
      <c r="C11" s="88" t="inlineStr">
        <is>
          <t>🚗</t>
        </is>
      </c>
      <c r="D11" s="70" t="inlineStr">
        <is>
          <t>Investments</t>
        </is>
      </c>
      <c r="E11" s="70" t="inlineStr">
        <is>
          <t>PayPal</t>
        </is>
      </c>
      <c r="F11" s="70" t="inlineStr">
        <is>
          <t>Cash</t>
        </is>
      </c>
    </row>
    <row r="12">
      <c r="B12" s="70" t="inlineStr">
        <is>
          <t>Shopping</t>
        </is>
      </c>
      <c r="C12" s="88" t="inlineStr">
        <is>
          <t>🛍️</t>
        </is>
      </c>
      <c r="D12" s="70" t="inlineStr">
        <is>
          <t>Gifts</t>
        </is>
      </c>
      <c r="E12" s="70" t="inlineStr">
        <is>
          <t>Other</t>
        </is>
      </c>
    </row>
    <row r="13">
      <c r="B13" s="70" t="inlineStr">
        <is>
          <t>Entertainment</t>
        </is>
      </c>
      <c r="C13" s="88" t="inlineStr">
        <is>
          <t>🎬</t>
        </is>
      </c>
      <c r="D13" s="70" t="inlineStr">
        <is>
          <t>Refunds</t>
        </is>
      </c>
    </row>
    <row r="14">
      <c r="B14" s="70" t="inlineStr">
        <is>
          <t>Health</t>
        </is>
      </c>
      <c r="C14" s="88" t="inlineStr">
        <is>
          <t>🩺</t>
        </is>
      </c>
      <c r="D14" s="70" t="inlineStr">
        <is>
          <t>Other</t>
        </is>
      </c>
    </row>
    <row r="15">
      <c r="B15" s="70" t="inlineStr">
        <is>
          <t>Insurance</t>
        </is>
      </c>
      <c r="C15" s="88" t="inlineStr">
        <is>
          <t>🛡️</t>
        </is>
      </c>
    </row>
    <row r="16">
      <c r="B16" s="70" t="inlineStr">
        <is>
          <t>Travel</t>
        </is>
      </c>
      <c r="C16" s="88" t="inlineStr">
        <is>
          <t>✈️</t>
        </is>
      </c>
    </row>
    <row r="17">
      <c r="B17" s="70" t="inlineStr">
        <is>
          <t>Education</t>
        </is>
      </c>
      <c r="C17" s="88" t="inlineStr">
        <is>
          <t>🎓</t>
        </is>
      </c>
    </row>
    <row r="18">
      <c r="B18" s="70" t="inlineStr">
        <is>
          <t>Subscriptions</t>
        </is>
      </c>
      <c r="C18" s="88" t="inlineStr">
        <is>
          <t>🔁</t>
        </is>
      </c>
    </row>
    <row r="19">
      <c r="B19" s="70" t="inlineStr">
        <is>
          <t>Pets</t>
        </is>
      </c>
      <c r="C19" s="88" t="inlineStr">
        <is>
          <t>🐾</t>
        </is>
      </c>
    </row>
    <row r="20">
      <c r="B20" s="70" t="inlineStr">
        <is>
          <t>Children</t>
        </is>
      </c>
      <c r="C20" s="88" t="inlineStr">
        <is>
          <t>🧸</t>
        </is>
      </c>
    </row>
    <row r="21">
      <c r="B21" s="70" t="inlineStr">
        <is>
          <t>Taxes</t>
        </is>
      </c>
      <c r="C21" s="88" t="inlineStr">
        <is>
          <t>🏛️</t>
        </is>
      </c>
    </row>
    <row r="22">
      <c r="B22" s="70" t="inlineStr">
        <is>
          <t>Savings</t>
        </is>
      </c>
      <c r="C22" s="88" t="inlineStr">
        <is>
          <t>🌱</t>
        </is>
      </c>
    </row>
    <row r="23">
      <c r="B23" s="70" t="inlineStr">
        <is>
          <t>Investments</t>
        </is>
      </c>
      <c r="C23" s="88" t="inlineStr">
        <is>
          <t>📈</t>
        </is>
      </c>
    </row>
    <row r="24">
      <c r="B24" s="70" t="inlineStr">
        <is>
          <t>Other</t>
        </is>
      </c>
      <c r="C24" s="88" t="inlineStr">
        <is>
          <t>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2026-07-07T19:40:42Z</dcterms:created>
  <dcterms:modified xsi:type="dcterms:W3CDTF">2026-07-07T19:40:42Z</dcterms:modified>
</cp:coreProperties>
</file>